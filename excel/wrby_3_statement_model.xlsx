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3-statement-model-warbyparker\excel\"/>
    </mc:Choice>
  </mc:AlternateContent>
  <xr:revisionPtr revIDLastSave="0" documentId="13_ncr:1_{BF9DC873-D209-4A91-A82B-96511A778FE6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00_Control_Panel" sheetId="3" r:id="rId1"/>
    <sheet name="01_Assumptions" sheetId="2" r:id="rId2"/>
    <sheet name="02_Historical_IS_BS_CF" sheetId="4" r:id="rId3"/>
    <sheet name="03_Forecast_IS" sheetId="5" r:id="rId4"/>
    <sheet name="04_Forecast_BS" sheetId="7" r:id="rId5"/>
    <sheet name="05_Forecast_CF" sheetId="9" r:id="rId6"/>
    <sheet name="06_Supporting_Schedules" sheetId="6" r:id="rId7"/>
    <sheet name="07_Validation" sheetId="10" r:id="rId8"/>
    <sheet name="08_Scenario_Planner" sheetId="11" r:id="rId9"/>
    <sheet name="09_Dashboard" sheetId="12" r:id="rId10"/>
    <sheet name="10_Data_Sources" sheetId="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2" l="1"/>
  <c r="D17" i="12" s="1"/>
  <c r="E17" i="12" s="1"/>
  <c r="F17" i="12" s="1"/>
  <c r="D38" i="12"/>
  <c r="C38" i="12"/>
  <c r="B38" i="12"/>
  <c r="D37" i="12"/>
  <c r="C37" i="12"/>
  <c r="B37" i="12"/>
  <c r="C11" i="12"/>
  <c r="D11" i="12" s="1"/>
  <c r="E11" i="12" s="1"/>
  <c r="F11" i="12" s="1"/>
  <c r="D2" i="12"/>
  <c r="D68" i="11"/>
  <c r="C68" i="11"/>
  <c r="D67" i="11"/>
  <c r="C67" i="11"/>
  <c r="B67" i="11"/>
  <c r="D66" i="11"/>
  <c r="C66" i="11"/>
  <c r="B66" i="11"/>
  <c r="C19" i="11"/>
  <c r="D19" i="11"/>
  <c r="E19" i="11"/>
  <c r="F19" i="11"/>
  <c r="B19" i="11"/>
  <c r="C39" i="11"/>
  <c r="D39" i="11"/>
  <c r="E39" i="11"/>
  <c r="F39" i="11"/>
  <c r="B39" i="11"/>
  <c r="C59" i="11"/>
  <c r="D59" i="11"/>
  <c r="E59" i="11"/>
  <c r="F59" i="11"/>
  <c r="B59" i="11"/>
  <c r="B48" i="11"/>
  <c r="B28" i="11"/>
  <c r="B47" i="11"/>
  <c r="B46" i="11"/>
  <c r="B45" i="11"/>
  <c r="B54" i="11" s="1"/>
  <c r="B27" i="11"/>
  <c r="B26" i="11"/>
  <c r="B25" i="11"/>
  <c r="B34" i="11" s="1"/>
  <c r="B37" i="11" s="1"/>
  <c r="C53" i="11"/>
  <c r="D53" i="11" s="1"/>
  <c r="E53" i="11" s="1"/>
  <c r="F53" i="11" s="1"/>
  <c r="F45" i="11" s="1"/>
  <c r="C33" i="11"/>
  <c r="D33" i="11" s="1"/>
  <c r="E33" i="11" s="1"/>
  <c r="F33" i="11" s="1"/>
  <c r="F25" i="11" s="1"/>
  <c r="C13" i="11"/>
  <c r="D13" i="11" s="1"/>
  <c r="E13" i="11" s="1"/>
  <c r="F13" i="11" s="1"/>
  <c r="F7" i="11" s="1"/>
  <c r="B8" i="11"/>
  <c r="B7" i="11"/>
  <c r="B6" i="11"/>
  <c r="B5" i="11"/>
  <c r="B14" i="11" s="1"/>
  <c r="C9" i="10"/>
  <c r="D9" i="10" s="1"/>
  <c r="E9" i="10" s="1"/>
  <c r="F9" i="10" s="1"/>
  <c r="B10" i="10"/>
  <c r="C10" i="10"/>
  <c r="D10" i="10"/>
  <c r="E10" i="10"/>
  <c r="F10" i="10"/>
  <c r="B11" i="10"/>
  <c r="C11" i="10"/>
  <c r="D11" i="10"/>
  <c r="E11" i="10"/>
  <c r="F11" i="10"/>
  <c r="C6" i="10"/>
  <c r="D6" i="10" s="1"/>
  <c r="E6" i="10" s="1"/>
  <c r="F6" i="10" s="1"/>
  <c r="B4" i="10"/>
  <c r="B57" i="11" l="1"/>
  <c r="B55" i="11"/>
  <c r="B56" i="11" s="1"/>
  <c r="B58" i="11" s="1"/>
  <c r="D6" i="11"/>
  <c r="E8" i="11"/>
  <c r="D8" i="11"/>
  <c r="F6" i="11"/>
  <c r="E7" i="11"/>
  <c r="F5" i="11"/>
  <c r="D28" i="11"/>
  <c r="F8" i="11"/>
  <c r="D7" i="11"/>
  <c r="E5" i="11"/>
  <c r="D25" i="11"/>
  <c r="B35" i="11"/>
  <c r="B36" i="11" s="1"/>
  <c r="B38" i="11" s="1"/>
  <c r="E27" i="11"/>
  <c r="B17" i="11"/>
  <c r="F28" i="11"/>
  <c r="D27" i="11"/>
  <c r="E6" i="11"/>
  <c r="D5" i="11"/>
  <c r="E28" i="11"/>
  <c r="D26" i="11"/>
  <c r="E48" i="11"/>
  <c r="E47" i="11"/>
  <c r="E46" i="11"/>
  <c r="E45" i="11"/>
  <c r="C8" i="11"/>
  <c r="C7" i="11"/>
  <c r="C6" i="11"/>
  <c r="C5" i="11"/>
  <c r="C14" i="11" s="1"/>
  <c r="B15" i="11"/>
  <c r="B16" i="11" s="1"/>
  <c r="C28" i="11"/>
  <c r="C27" i="11"/>
  <c r="C26" i="11"/>
  <c r="C25" i="11"/>
  <c r="C34" i="11" s="1"/>
  <c r="D48" i="11"/>
  <c r="D47" i="11"/>
  <c r="D46" i="11"/>
  <c r="D45" i="11"/>
  <c r="F27" i="11"/>
  <c r="F26" i="11"/>
  <c r="C48" i="11"/>
  <c r="C47" i="11"/>
  <c r="C46" i="11"/>
  <c r="C45" i="11"/>
  <c r="C54" i="11" s="1"/>
  <c r="E26" i="11"/>
  <c r="E25" i="11"/>
  <c r="F48" i="11"/>
  <c r="F47" i="11"/>
  <c r="F46" i="11"/>
  <c r="B18" i="9"/>
  <c r="C6" i="9"/>
  <c r="D6" i="9" s="1"/>
  <c r="E6" i="9" s="1"/>
  <c r="F6" i="9" s="1"/>
  <c r="B3" i="9"/>
  <c r="F22" i="7"/>
  <c r="C32" i="7"/>
  <c r="D32" i="7"/>
  <c r="E32" i="7"/>
  <c r="F32" i="7"/>
  <c r="B32" i="7"/>
  <c r="C29" i="7"/>
  <c r="D29" i="7"/>
  <c r="E29" i="7"/>
  <c r="F29" i="7"/>
  <c r="B29" i="7"/>
  <c r="C27" i="7"/>
  <c r="D27" i="7"/>
  <c r="E27" i="7"/>
  <c r="F27" i="7"/>
  <c r="C26" i="7"/>
  <c r="D26" i="7"/>
  <c r="E26" i="7"/>
  <c r="F26" i="7"/>
  <c r="C25" i="7"/>
  <c r="D25" i="7"/>
  <c r="E25" i="7"/>
  <c r="F25" i="7"/>
  <c r="B27" i="7"/>
  <c r="B26" i="7"/>
  <c r="B25" i="7"/>
  <c r="C23" i="7"/>
  <c r="D23" i="7"/>
  <c r="E23" i="7"/>
  <c r="F23" i="7"/>
  <c r="B23" i="7"/>
  <c r="C22" i="7"/>
  <c r="D22" i="7"/>
  <c r="E22" i="7"/>
  <c r="B22" i="7"/>
  <c r="C21" i="7"/>
  <c r="D21" i="7"/>
  <c r="E21" i="7"/>
  <c r="F21" i="7"/>
  <c r="B21" i="7"/>
  <c r="C20" i="7"/>
  <c r="D20" i="7"/>
  <c r="E20" i="7"/>
  <c r="F20" i="7"/>
  <c r="B20" i="7"/>
  <c r="C18" i="7"/>
  <c r="D18" i="7" s="1"/>
  <c r="E18" i="7" s="1"/>
  <c r="F18" i="7" s="1"/>
  <c r="C14" i="7"/>
  <c r="D14" i="7"/>
  <c r="E14" i="7"/>
  <c r="F14" i="7"/>
  <c r="B14" i="7"/>
  <c r="C13" i="7"/>
  <c r="D13" i="7"/>
  <c r="E13" i="7"/>
  <c r="F13" i="7"/>
  <c r="B13" i="7"/>
  <c r="C10" i="7"/>
  <c r="D10" i="7"/>
  <c r="E10" i="7"/>
  <c r="F10" i="7"/>
  <c r="B10" i="7"/>
  <c r="C6" i="7"/>
  <c r="D6" i="7" s="1"/>
  <c r="E6" i="7" s="1"/>
  <c r="F6" i="7" s="1"/>
  <c r="B3" i="6"/>
  <c r="B3" i="7"/>
  <c r="B14" i="6"/>
  <c r="C13" i="6"/>
  <c r="D13" i="6" s="1"/>
  <c r="E13" i="6" s="1"/>
  <c r="F13" i="6" s="1"/>
  <c r="C6" i="6"/>
  <c r="D6" i="6" s="1"/>
  <c r="E6" i="6" s="1"/>
  <c r="F6" i="6" s="1"/>
  <c r="C11" i="5"/>
  <c r="D11" i="5"/>
  <c r="E11" i="5"/>
  <c r="F11" i="5"/>
  <c r="B11" i="5"/>
  <c r="C5" i="5"/>
  <c r="D5" i="5" s="1"/>
  <c r="E5" i="5" s="1"/>
  <c r="F5" i="5" s="1"/>
  <c r="B3" i="5"/>
  <c r="B55" i="4"/>
  <c r="C99" i="4"/>
  <c r="B99" i="4"/>
  <c r="C89" i="4"/>
  <c r="D89" i="4"/>
  <c r="D99" i="4" s="1"/>
  <c r="E89" i="4"/>
  <c r="E99" i="4" s="1"/>
  <c r="F89" i="4"/>
  <c r="F99" i="4" s="1"/>
  <c r="B89" i="4"/>
  <c r="C69" i="4"/>
  <c r="D69" i="4" s="1"/>
  <c r="E69" i="4" s="1"/>
  <c r="F69" i="4" s="1"/>
  <c r="C60" i="4"/>
  <c r="B51" i="4"/>
  <c r="B59" i="4" s="1"/>
  <c r="B42" i="4"/>
  <c r="B46" i="4" s="1"/>
  <c r="B58" i="4" s="1"/>
  <c r="C51" i="4"/>
  <c r="C59" i="4" s="1"/>
  <c r="D51" i="4"/>
  <c r="D59" i="4" s="1"/>
  <c r="E51" i="4"/>
  <c r="E59" i="4" s="1"/>
  <c r="F51" i="4"/>
  <c r="F59" i="4" s="1"/>
  <c r="C42" i="4"/>
  <c r="C46" i="4" s="1"/>
  <c r="C52" i="4" s="1"/>
  <c r="D42" i="4"/>
  <c r="D46" i="4" s="1"/>
  <c r="D52" i="4" s="1"/>
  <c r="E42" i="4"/>
  <c r="E46" i="4" s="1"/>
  <c r="E52" i="4" s="1"/>
  <c r="F42" i="4"/>
  <c r="F46" i="4" s="1"/>
  <c r="F58" i="4" s="1"/>
  <c r="C32" i="4"/>
  <c r="C36" i="4" s="1"/>
  <c r="C56" i="4" s="1"/>
  <c r="D32" i="4"/>
  <c r="D36" i="4" s="1"/>
  <c r="E32" i="4"/>
  <c r="E36" i="4" s="1"/>
  <c r="E56" i="4" s="1"/>
  <c r="F32" i="4"/>
  <c r="F36" i="4" s="1"/>
  <c r="F56" i="4" s="1"/>
  <c r="B32" i="4"/>
  <c r="B36" i="4" s="1"/>
  <c r="B56" i="4" s="1"/>
  <c r="C27" i="4"/>
  <c r="D27" i="4" s="1"/>
  <c r="E27" i="4" s="1"/>
  <c r="F27" i="4" s="1"/>
  <c r="C7" i="4"/>
  <c r="C9" i="4" s="1"/>
  <c r="D7" i="4"/>
  <c r="D9" i="4" s="1"/>
  <c r="D11" i="4" s="1"/>
  <c r="D13" i="4" s="1"/>
  <c r="E7" i="4"/>
  <c r="E17" i="4" s="1"/>
  <c r="F7" i="4"/>
  <c r="F17" i="4" s="1"/>
  <c r="B7" i="4"/>
  <c r="B9" i="4" s="1"/>
  <c r="C4" i="4"/>
  <c r="D4" i="4" s="1"/>
  <c r="E4" i="4" s="1"/>
  <c r="F4" i="4" s="1"/>
  <c r="B60" i="11" l="1"/>
  <c r="B61" i="11" s="1"/>
  <c r="C55" i="11"/>
  <c r="C56" i="11" s="1"/>
  <c r="D54" i="11"/>
  <c r="C57" i="11"/>
  <c r="B18" i="11"/>
  <c r="B40" i="11"/>
  <c r="B41" i="11" s="1"/>
  <c r="D34" i="11"/>
  <c r="C35" i="11"/>
  <c r="C36" i="11" s="1"/>
  <c r="C37" i="11"/>
  <c r="C17" i="11"/>
  <c r="C15" i="11"/>
  <c r="C16" i="11" s="1"/>
  <c r="D14" i="11"/>
  <c r="E9" i="4"/>
  <c r="E11" i="4" s="1"/>
  <c r="E13" i="4" s="1"/>
  <c r="F57" i="4"/>
  <c r="E57" i="4"/>
  <c r="D60" i="4"/>
  <c r="F55" i="4"/>
  <c r="F9" i="4"/>
  <c r="F11" i="4" s="1"/>
  <c r="F13" i="4" s="1"/>
  <c r="C55" i="4"/>
  <c r="B11" i="4"/>
  <c r="B13" i="4" s="1"/>
  <c r="B18" i="4"/>
  <c r="C18" i="4"/>
  <c r="C11" i="4"/>
  <c r="C13" i="4" s="1"/>
  <c r="C70" i="4" s="1"/>
  <c r="C86" i="4" s="1"/>
  <c r="C98" i="4" s="1"/>
  <c r="D17" i="4"/>
  <c r="B17" i="4"/>
  <c r="C17" i="4"/>
  <c r="D57" i="4"/>
  <c r="E58" i="4"/>
  <c r="B52" i="4"/>
  <c r="B60" i="4" s="1"/>
  <c r="E55" i="4"/>
  <c r="B57" i="4"/>
  <c r="C57" i="4"/>
  <c r="D58" i="4"/>
  <c r="E60" i="4"/>
  <c r="D56" i="4"/>
  <c r="D55" i="4"/>
  <c r="C58" i="4"/>
  <c r="B19" i="4"/>
  <c r="B70" i="4"/>
  <c r="B86" i="4" s="1"/>
  <c r="B98" i="4" s="1"/>
  <c r="E19" i="4"/>
  <c r="E70" i="4"/>
  <c r="E86" i="4" s="1"/>
  <c r="E98" i="4" s="1"/>
  <c r="F70" i="4"/>
  <c r="F86" i="4" s="1"/>
  <c r="F98" i="4" s="1"/>
  <c r="F19" i="4"/>
  <c r="D19" i="4"/>
  <c r="D70" i="4"/>
  <c r="D86" i="4" s="1"/>
  <c r="D92" i="4" s="1"/>
  <c r="D100" i="4" s="1"/>
  <c r="F18" i="4"/>
  <c r="E18" i="4"/>
  <c r="D18" i="4"/>
  <c r="F52" i="4"/>
  <c r="F60" i="4" s="1"/>
  <c r="B24" i="2"/>
  <c r="B6" i="5" s="1"/>
  <c r="B25" i="2"/>
  <c r="C25" i="2"/>
  <c r="D25" i="2"/>
  <c r="E25" i="2"/>
  <c r="F25" i="2"/>
  <c r="B26" i="2"/>
  <c r="C26" i="2"/>
  <c r="D26" i="2"/>
  <c r="E26" i="2"/>
  <c r="F26" i="2"/>
  <c r="B27" i="2"/>
  <c r="C27" i="2"/>
  <c r="D27" i="2"/>
  <c r="E27" i="2"/>
  <c r="F27" i="2"/>
  <c r="B28" i="2"/>
  <c r="C28" i="2"/>
  <c r="D28" i="2"/>
  <c r="E28" i="2"/>
  <c r="F28" i="2"/>
  <c r="B29" i="2"/>
  <c r="C29" i="2"/>
  <c r="D29" i="2"/>
  <c r="E29" i="2"/>
  <c r="F29" i="2"/>
  <c r="B30" i="2"/>
  <c r="C30" i="2"/>
  <c r="D30" i="2"/>
  <c r="E30" i="2"/>
  <c r="F30" i="2"/>
  <c r="B31" i="2"/>
  <c r="C31" i="2"/>
  <c r="D31" i="2"/>
  <c r="E31" i="2"/>
  <c r="F31" i="2"/>
  <c r="B32" i="2"/>
  <c r="C32" i="2"/>
  <c r="D32" i="2"/>
  <c r="E32" i="2"/>
  <c r="F32" i="2"/>
  <c r="B33" i="2"/>
  <c r="C33" i="2"/>
  <c r="D33" i="2"/>
  <c r="E33" i="2"/>
  <c r="F33" i="2"/>
  <c r="C24" i="2"/>
  <c r="D24" i="2"/>
  <c r="E24" i="2"/>
  <c r="F24" i="2"/>
  <c r="B21" i="2"/>
  <c r="B7" i="2"/>
  <c r="C7" i="2"/>
  <c r="D7" i="2"/>
  <c r="E7" i="2"/>
  <c r="F7" i="2"/>
  <c r="B8" i="2"/>
  <c r="C8" i="2"/>
  <c r="D8" i="2"/>
  <c r="E8" i="2"/>
  <c r="F8" i="2"/>
  <c r="B9" i="2"/>
  <c r="C9" i="2"/>
  <c r="D9" i="2"/>
  <c r="E9" i="2"/>
  <c r="F9" i="2"/>
  <c r="B10" i="2"/>
  <c r="C10" i="2"/>
  <c r="D10" i="2"/>
  <c r="E10" i="2"/>
  <c r="F10" i="2"/>
  <c r="B11" i="2"/>
  <c r="C11" i="2"/>
  <c r="D11" i="2"/>
  <c r="E11" i="2"/>
  <c r="F11" i="2"/>
  <c r="B12" i="2"/>
  <c r="C12" i="2"/>
  <c r="D12" i="2"/>
  <c r="E12" i="2"/>
  <c r="F12" i="2"/>
  <c r="B13" i="2"/>
  <c r="C13" i="2"/>
  <c r="D13" i="2"/>
  <c r="E13" i="2"/>
  <c r="F13" i="2"/>
  <c r="B14" i="2"/>
  <c r="C14" i="2"/>
  <c r="D14" i="2"/>
  <c r="E14" i="2"/>
  <c r="F14" i="2"/>
  <c r="B15" i="2"/>
  <c r="C15" i="2"/>
  <c r="D15" i="2"/>
  <c r="E15" i="2"/>
  <c r="F15" i="2"/>
  <c r="B16" i="2"/>
  <c r="C16" i="2"/>
  <c r="D16" i="2"/>
  <c r="E16" i="2"/>
  <c r="F16" i="2"/>
  <c r="B17" i="2"/>
  <c r="C17" i="2"/>
  <c r="D17" i="2"/>
  <c r="E17" i="2"/>
  <c r="F17" i="2"/>
  <c r="B18" i="2"/>
  <c r="C18" i="2"/>
  <c r="D18" i="2"/>
  <c r="E18" i="2"/>
  <c r="F18" i="2"/>
  <c r="C6" i="2"/>
  <c r="D6" i="2"/>
  <c r="E6" i="2"/>
  <c r="F6" i="2"/>
  <c r="B6" i="2"/>
  <c r="D4" i="3"/>
  <c r="B12" i="10" s="1"/>
  <c r="B18" i="12" l="1"/>
  <c r="B6" i="12"/>
  <c r="C18" i="11"/>
  <c r="C20" i="11" s="1"/>
  <c r="C21" i="11" s="1"/>
  <c r="C58" i="11"/>
  <c r="C60" i="11" s="1"/>
  <c r="C61" i="11" s="1"/>
  <c r="D55" i="11"/>
  <c r="D56" i="11" s="1"/>
  <c r="E54" i="11"/>
  <c r="D57" i="11"/>
  <c r="C38" i="11"/>
  <c r="C40" i="11" s="1"/>
  <c r="C41" i="11" s="1"/>
  <c r="B20" i="11"/>
  <c r="B21" i="11" s="1"/>
  <c r="D35" i="11"/>
  <c r="D36" i="11" s="1"/>
  <c r="E34" i="11"/>
  <c r="D37" i="11"/>
  <c r="E14" i="11"/>
  <c r="D17" i="11"/>
  <c r="D15" i="11"/>
  <c r="D16" i="11" s="1"/>
  <c r="B15" i="6"/>
  <c r="B14" i="9" s="1"/>
  <c r="B15" i="9" s="1"/>
  <c r="F92" i="4"/>
  <c r="F100" i="4" s="1"/>
  <c r="B9" i="9"/>
  <c r="B30" i="7" s="1"/>
  <c r="B16" i="6"/>
  <c r="B8" i="9" s="1"/>
  <c r="B7" i="6"/>
  <c r="B8" i="7" s="1"/>
  <c r="B10" i="9" s="1"/>
  <c r="C6" i="5"/>
  <c r="C18" i="12" s="1"/>
  <c r="B7" i="5"/>
  <c r="B9" i="5"/>
  <c r="D98" i="4"/>
  <c r="C19" i="4"/>
  <c r="C92" i="4"/>
  <c r="C100" i="4" s="1"/>
  <c r="B92" i="4"/>
  <c r="B100" i="4" s="1"/>
  <c r="E92" i="4"/>
  <c r="E100" i="4" s="1"/>
  <c r="D58" i="11" l="1"/>
  <c r="D60" i="11" s="1"/>
  <c r="D61" i="11" s="1"/>
  <c r="E57" i="11"/>
  <c r="E55" i="11"/>
  <c r="E56" i="11" s="1"/>
  <c r="E58" i="11" s="1"/>
  <c r="F54" i="11"/>
  <c r="D38" i="11"/>
  <c r="D40" i="11" s="1"/>
  <c r="D41" i="11" s="1"/>
  <c r="F34" i="11"/>
  <c r="E37" i="11"/>
  <c r="E35" i="11"/>
  <c r="E36" i="11" s="1"/>
  <c r="D18" i="11"/>
  <c r="F14" i="11"/>
  <c r="E15" i="11"/>
  <c r="E16" i="11" s="1"/>
  <c r="E17" i="11"/>
  <c r="B8" i="5"/>
  <c r="B9" i="6"/>
  <c r="B19" i="7" s="1"/>
  <c r="B8" i="6"/>
  <c r="B9" i="7" s="1"/>
  <c r="B11" i="9" s="1"/>
  <c r="C9" i="9"/>
  <c r="C30" i="7" s="1"/>
  <c r="C16" i="6"/>
  <c r="C8" i="9" s="1"/>
  <c r="C7" i="6"/>
  <c r="C8" i="7" s="1"/>
  <c r="C10" i="9" s="1"/>
  <c r="C15" i="6"/>
  <c r="C14" i="9" s="1"/>
  <c r="C15" i="9" s="1"/>
  <c r="B17" i="6"/>
  <c r="D6" i="5"/>
  <c r="D18" i="12" s="1"/>
  <c r="C7" i="5"/>
  <c r="C9" i="5"/>
  <c r="B95" i="4"/>
  <c r="C93" i="4"/>
  <c r="C95" i="4" s="1"/>
  <c r="B106" i="4"/>
  <c r="B10" i="5" l="1"/>
  <c r="B7" i="12"/>
  <c r="B12" i="12"/>
  <c r="E60" i="11"/>
  <c r="E61" i="11" s="1"/>
  <c r="F57" i="11"/>
  <c r="F55" i="11"/>
  <c r="F56" i="11" s="1"/>
  <c r="F58" i="11" s="1"/>
  <c r="E38" i="11"/>
  <c r="E40" i="11" s="1"/>
  <c r="E41" i="11" s="1"/>
  <c r="E18" i="11"/>
  <c r="F37" i="11"/>
  <c r="F35" i="11"/>
  <c r="F36" i="11" s="1"/>
  <c r="D20" i="11"/>
  <c r="D21" i="11" s="1"/>
  <c r="F15" i="11"/>
  <c r="F16" i="11" s="1"/>
  <c r="F17" i="11"/>
  <c r="C8" i="5"/>
  <c r="C9" i="6"/>
  <c r="C19" i="7" s="1"/>
  <c r="C8" i="6"/>
  <c r="C9" i="7" s="1"/>
  <c r="C11" i="9" s="1"/>
  <c r="D16" i="6"/>
  <c r="D8" i="9" s="1"/>
  <c r="D9" i="9"/>
  <c r="D30" i="7" s="1"/>
  <c r="D7" i="6"/>
  <c r="D8" i="7" s="1"/>
  <c r="D10" i="9" s="1"/>
  <c r="D15" i="6"/>
  <c r="D14" i="9" s="1"/>
  <c r="D15" i="9" s="1"/>
  <c r="C14" i="6"/>
  <c r="C17" i="6" s="1"/>
  <c r="B12" i="7"/>
  <c r="B12" i="9"/>
  <c r="B24" i="7"/>
  <c r="B28" i="7" s="1"/>
  <c r="E6" i="5"/>
  <c r="E18" i="12" s="1"/>
  <c r="D7" i="5"/>
  <c r="D9" i="5"/>
  <c r="D93" i="4"/>
  <c r="D95" i="4" s="1"/>
  <c r="C106" i="4"/>
  <c r="B12" i="5" l="1"/>
  <c r="B13" i="5" s="1"/>
  <c r="B14" i="5" s="1"/>
  <c r="B13" i="12"/>
  <c r="B8" i="12"/>
  <c r="C10" i="5"/>
  <c r="C12" i="12"/>
  <c r="F38" i="11"/>
  <c r="E20" i="11"/>
  <c r="E21" i="11" s="1"/>
  <c r="F18" i="11"/>
  <c r="D8" i="5"/>
  <c r="D9" i="6"/>
  <c r="D19" i="7" s="1"/>
  <c r="D8" i="6"/>
  <c r="D9" i="7" s="1"/>
  <c r="D11" i="9" s="1"/>
  <c r="C24" i="7"/>
  <c r="C28" i="7" s="1"/>
  <c r="C12" i="9"/>
  <c r="D14" i="6"/>
  <c r="D17" i="6" s="1"/>
  <c r="C12" i="7"/>
  <c r="E7" i="6"/>
  <c r="E8" i="7" s="1"/>
  <c r="E10" i="9" s="1"/>
  <c r="E16" i="6"/>
  <c r="E8" i="9" s="1"/>
  <c r="E9" i="9"/>
  <c r="E30" i="7" s="1"/>
  <c r="E15" i="6"/>
  <c r="E14" i="9" s="1"/>
  <c r="E15" i="9" s="1"/>
  <c r="F6" i="5"/>
  <c r="E9" i="5"/>
  <c r="E7" i="5"/>
  <c r="E93" i="4"/>
  <c r="E95" i="4" s="1"/>
  <c r="D106" i="4"/>
  <c r="D10" i="5" l="1"/>
  <c r="D12" i="12"/>
  <c r="C12" i="5"/>
  <c r="C13" i="5" s="1"/>
  <c r="C14" i="5" s="1"/>
  <c r="C13" i="12"/>
  <c r="F18" i="12"/>
  <c r="C6" i="12"/>
  <c r="D6" i="12" s="1"/>
  <c r="B14" i="12"/>
  <c r="B9" i="12"/>
  <c r="B19" i="12"/>
  <c r="B7" i="9"/>
  <c r="B13" i="9" s="1"/>
  <c r="B17" i="9" s="1"/>
  <c r="B20" i="9" s="1"/>
  <c r="C18" i="9" s="1"/>
  <c r="B31" i="7"/>
  <c r="F60" i="11"/>
  <c r="F61" i="11" s="1"/>
  <c r="F40" i="11"/>
  <c r="F41" i="11" s="1"/>
  <c r="F20" i="11"/>
  <c r="F21" i="11" s="1"/>
  <c r="B68" i="11" s="1"/>
  <c r="E14" i="6"/>
  <c r="E17" i="6" s="1"/>
  <c r="D12" i="7"/>
  <c r="F7" i="6"/>
  <c r="F8" i="7" s="1"/>
  <c r="F10" i="9" s="1"/>
  <c r="F16" i="6"/>
  <c r="F8" i="9" s="1"/>
  <c r="F9" i="9"/>
  <c r="F30" i="7" s="1"/>
  <c r="F15" i="6"/>
  <c r="F14" i="9" s="1"/>
  <c r="F15" i="9" s="1"/>
  <c r="E8" i="5"/>
  <c r="E8" i="6"/>
  <c r="E9" i="7" s="1"/>
  <c r="E11" i="9" s="1"/>
  <c r="E9" i="6"/>
  <c r="E19" i="7" s="1"/>
  <c r="D24" i="7"/>
  <c r="D28" i="7" s="1"/>
  <c r="D12" i="9"/>
  <c r="F7" i="5"/>
  <c r="F9" i="5"/>
  <c r="F93" i="4"/>
  <c r="F95" i="4" s="1"/>
  <c r="F106" i="4" s="1"/>
  <c r="E106" i="4"/>
  <c r="E10" i="5" l="1"/>
  <c r="E12" i="12"/>
  <c r="C31" i="7"/>
  <c r="B33" i="7"/>
  <c r="B34" i="7" s="1"/>
  <c r="C7" i="9"/>
  <c r="C13" i="9" s="1"/>
  <c r="C17" i="9" s="1"/>
  <c r="C20" i="9" s="1"/>
  <c r="C14" i="12"/>
  <c r="C19" i="12"/>
  <c r="B7" i="7"/>
  <c r="B11" i="7" s="1"/>
  <c r="B15" i="7" s="1"/>
  <c r="B7" i="10" s="1"/>
  <c r="D12" i="5"/>
  <c r="D13" i="5" s="1"/>
  <c r="D14" i="5" s="1"/>
  <c r="D13" i="12"/>
  <c r="F14" i="6"/>
  <c r="F17" i="6" s="1"/>
  <c r="F12" i="7" s="1"/>
  <c r="E12" i="7"/>
  <c r="F8" i="5"/>
  <c r="F9" i="6"/>
  <c r="F19" i="7" s="1"/>
  <c r="F8" i="6"/>
  <c r="F9" i="7" s="1"/>
  <c r="F11" i="9" s="1"/>
  <c r="E24" i="7"/>
  <c r="E28" i="7" s="1"/>
  <c r="E12" i="9"/>
  <c r="C7" i="7" l="1"/>
  <c r="C11" i="7" s="1"/>
  <c r="C15" i="7" s="1"/>
  <c r="D18" i="9"/>
  <c r="B8" i="10"/>
  <c r="D31" i="7"/>
  <c r="C33" i="7"/>
  <c r="C34" i="7" s="1"/>
  <c r="C7" i="10" s="1"/>
  <c r="F10" i="5"/>
  <c r="C7" i="12"/>
  <c r="D7" i="12" s="1"/>
  <c r="F12" i="12"/>
  <c r="D7" i="9"/>
  <c r="D13" i="9" s="1"/>
  <c r="D17" i="9" s="1"/>
  <c r="D20" i="9" s="1"/>
  <c r="D19" i="12"/>
  <c r="D14" i="12"/>
  <c r="B36" i="7"/>
  <c r="E12" i="5"/>
  <c r="E13" i="5" s="1"/>
  <c r="E14" i="5" s="1"/>
  <c r="E13" i="12"/>
  <c r="C8" i="10"/>
  <c r="B14" i="10"/>
  <c r="C36" i="7"/>
  <c r="F12" i="9"/>
  <c r="F24" i="7"/>
  <c r="F28" i="7" s="1"/>
  <c r="E18" i="9" l="1"/>
  <c r="D7" i="7"/>
  <c r="D11" i="7" s="1"/>
  <c r="D15" i="7" s="1"/>
  <c r="E31" i="7"/>
  <c r="D33" i="7"/>
  <c r="D34" i="7" s="1"/>
  <c r="E7" i="9"/>
  <c r="E13" i="9" s="1"/>
  <c r="E17" i="9" s="1"/>
  <c r="E19" i="12"/>
  <c r="E14" i="12"/>
  <c r="F12" i="5"/>
  <c r="F13" i="5" s="1"/>
  <c r="F14" i="5" s="1"/>
  <c r="C8" i="12"/>
  <c r="D8" i="12" s="1"/>
  <c r="F13" i="12"/>
  <c r="D8" i="10"/>
  <c r="D36" i="7"/>
  <c r="C14" i="10"/>
  <c r="D7" i="10" l="1"/>
  <c r="F7" i="9"/>
  <c r="F13" i="9" s="1"/>
  <c r="F17" i="9" s="1"/>
  <c r="F19" i="12"/>
  <c r="F14" i="12"/>
  <c r="C9" i="12"/>
  <c r="D9" i="12" s="1"/>
  <c r="E20" i="9"/>
  <c r="D14" i="10"/>
  <c r="F31" i="7"/>
  <c r="F33" i="7" s="1"/>
  <c r="F34" i="7" s="1"/>
  <c r="E33" i="7"/>
  <c r="E34" i="7" s="1"/>
  <c r="E7" i="7" l="1"/>
  <c r="F18" i="9"/>
  <c r="F20" i="9" s="1"/>
  <c r="F7" i="7" s="1"/>
  <c r="F11" i="7" s="1"/>
  <c r="F15" i="7" s="1"/>
  <c r="F7" i="10" s="1"/>
  <c r="F8" i="10" l="1"/>
  <c r="F14" i="10" s="1"/>
  <c r="E11" i="7"/>
  <c r="E15" i="7" s="1"/>
  <c r="E8" i="10"/>
  <c r="F36" i="7"/>
  <c r="E7" i="10" l="1"/>
  <c r="E14" i="10" s="1"/>
  <c r="E3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Immaterial $11K rounding difference in WRBY's own FY21 filing; not a model error.</t>
        </r>
      </text>
    </comment>
    <comment ref="E10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Immaterial $2K rounding difference in WRBY's own FY24 filing; carries forward to FY25 ending cash - see Golden Tie note.</t>
        </r>
      </text>
    </comment>
    <comment ref="E106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Traces to FY24 filing rounding, not a model error - see row 100 note.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historical_ratios" description="Connection to the 'historical_ratios' query in the workbook." type="5" refreshedVersion="6" background="1">
    <dbPr connection="Provider=Microsoft.Mashup.OleDb.1;Data Source=$Workbook$;Location=historical_ratios;Extended Properties=&quot;&quot;" command="SELECT * FROM [historical_ratios]"/>
  </connection>
  <connection id="2" xr16:uid="{00000000-0015-0000-FFFF-FFFF01000000}" keepAlive="1" name="Query - scenario_assumptions" description="Connection to the 'scenario_assumptions' query in the workbook." type="5" refreshedVersion="6" background="1" saveData="1">
    <dbPr connection="Provider=Microsoft.Mashup.OleDb.1;Data Source=$Workbook$;Location=scenario_assumptions;Extended Properties=&quot;&quot;" command="SELECT * FROM [scenario_assumptions]"/>
  </connection>
</connections>
</file>

<file path=xl/sharedStrings.xml><?xml version="1.0" encoding="utf-8"?>
<sst xmlns="http://schemas.openxmlformats.org/spreadsheetml/2006/main" count="905" uniqueCount="206">
  <si>
    <t>driver</t>
  </si>
  <si>
    <t>revenue_growth_pct</t>
  </si>
  <si>
    <t>gross_margin_pct</t>
  </si>
  <si>
    <t>cogs_pct_revenue</t>
  </si>
  <si>
    <t>sga_pct_revenue</t>
  </si>
  <si>
    <t>operating_margin_pct</t>
  </si>
  <si>
    <t>net_margin_pct</t>
  </si>
  <si>
    <t>effective_tax_rate_pct</t>
  </si>
  <si>
    <t>dso_days</t>
  </si>
  <si>
    <t>dio_days</t>
  </si>
  <si>
    <t>dpo_days</t>
  </si>
  <si>
    <t>capex_pct_revenue</t>
  </si>
  <si>
    <t>da_pct_revenue</t>
  </si>
  <si>
    <t>sbc_pct_revenue</t>
  </si>
  <si>
    <t>driver_label</t>
  </si>
  <si>
    <t>scenario</t>
  </si>
  <si>
    <t>year</t>
  </si>
  <si>
    <t>value</t>
  </si>
  <si>
    <t>rationale</t>
  </si>
  <si>
    <t>Revenue growth %</t>
  </si>
  <si>
    <t>base</t>
  </si>
  <si>
    <t>Starts near the FY24-25 average growth rate (~14.1%), decelerating to 7% by year 5 - typical maturation curve for a scaling DTC retailer, consistent with WRBY's own deceleration from 15.2% (FY24) to 13.0% (FY25).</t>
  </si>
  <si>
    <t>best</t>
  </si>
  <si>
    <t>Holds near FY24's peak growth rate (15.2%) and decelerates more slowly - new store productivity and category expansion (contacts, exams) sustain growth longer.</t>
  </si>
  <si>
    <t>worst</t>
  </si>
  <si>
    <t>Growth roughly halves from the FY25 rate immediately - reflects competitive/macro pressure on discretionary eyewear spend, decelerating to GDP-like growth by year 5.</t>
  </si>
  <si>
    <t>Gross margin %</t>
  </si>
  <si>
    <t>Roughly flat at the FY25 level (54.0%) trending toward the 3-year average (54.6%) - gross margin has been range-bound 54-59% since FY21 with no clear directional trend, so flat is the defensible default.</t>
  </si>
  <si>
    <t>Gradual improvement via mix shift toward higher-margin lens/exam revenue and supply chain efficiency at scale.</t>
  </si>
  <si>
    <t>Continued compression from FY21's 58.8% peak - input cost inflation and promotional intensity outpace efficiency gains.</t>
  </si>
  <si>
    <t>SG&amp;A % of revenue</t>
  </si>
  <si>
    <t>Continues improving from FY25's 54.6% but at a decelerating pace - the FY21-25 improvement (85.3% -&gt; 54.6%) can't repeat at the same rate; diminishing returns to operating leverage as the store base matures.</t>
  </si>
  <si>
    <t>Operating leverage continues at closer to the recent pace - marketing efficiency and corporate overhead leverage both improve further as revenue scales.</t>
  </si>
  <si>
    <t>Leverage gains stall entirely, holding flat at the FY25 level - rising marketing costs to defend growth offset any further corporate overhead leverage.</t>
  </si>
  <si>
    <t>Effective tax rate % (flagged where pretax income &lt;= 0)</t>
  </si>
  <si>
    <t>NOT extrapolated from the historical ratio (economically meaningless in pretax-loss years - see FY25's 46% distortion). Modeled instead as a ramp: low cash tax rate while NOL carryforwards offset newly-positive income, rising toward a normalized ~24% effective rate (below the 21% federal statutory + state blend, since some NOL shield likely remains through year 5).</t>
  </si>
  <si>
    <t>NOLs stretch further / income mix skews to lower-tax jurisdictions, keeping the effective rate below normalized longer.</t>
  </si>
  <si>
    <t>NOLs exhausted faster than expected as income grows quicker than assumed, reaching full statutory-plus-state rate by year 5.</t>
  </si>
  <si>
    <t>DSO (days sales outstanding)</t>
  </si>
  <si>
    <t>Held flat near FY25's 1.4 days - receivables are immaterial for a cash/card-driven DTC retailer (this line is mostly wholesale/insurance reimbursement), so it's a low-priority driver with minimal forecast impact regardless of scenario.</t>
  </si>
  <si>
    <t>Marginal improvement; low materiality either way.</t>
  </si>
  <si>
    <t>Marginal deterioration; low materiality either way.</t>
  </si>
  <si>
    <t>DIO (days inventory outstanding)</t>
  </si>
  <si>
    <t>Continues the strong FY21-25 improvement (93 -&gt; 41 days) but at a decelerating pace - most of the easy inventory-efficiency gains (better demand forecasting, fewer SKUs held in excess) have likely already been captured.</t>
  </si>
  <si>
    <t>Efficiency gains continue at closer to the recent pace - further supply chain investment pays off.</t>
  </si>
  <si>
    <t>Partial reversion toward the FY22-23 level (75-98 days) - supply chain disruption or overordering ahead of demand.</t>
  </si>
  <si>
    <t>DPO (days payable outstanding)</t>
  </si>
  <si>
    <t>Held near the FY23-25 average (~27 days) - payment terms have been stable since the FY21 outlier (50 days, likely a pre-IPO working-capital management artifact).</t>
  </si>
  <si>
    <t>Stronger supplier terms negotiated as WRBY's scale/leverage grows.</t>
  </si>
  <si>
    <t>Suppliers tighten terms as competitive pressure on WRBY's margins grows.</t>
  </si>
  <si>
    <t>Capex % of revenue</t>
  </si>
  <si>
    <t>Held near the FY23-25 average (~8.0%) - consistent with continued store expansion and technology investment at a steady pace, in line with the last 3 years' range (7.7%-8.3%).</t>
  </si>
  <si>
    <t>Slightly more capital-efficient store formats and tech reuse.</t>
  </si>
  <si>
    <t>Accelerated store buildout and/or higher technology spend to defend growth.</t>
  </si>
  <si>
    <t>D&amp;A % of revenue</t>
  </si>
  <si>
    <t>Held flat near FY24-25 (~5.9%) - D&amp;A has risen alongside the growing capex base (4.0% -&gt; 5.8% FY21-25) and should stabilize once capex and depreciation reach a steady-state ratio.</t>
  </si>
  <si>
    <t>Modest efficiency as newer, longer-lived assets are added.</t>
  </si>
  <si>
    <t>Continues rising if capex intensity increases (see worst-case capex).</t>
  </si>
  <si>
    <t>Stock-based comp % of revenue</t>
  </si>
  <si>
    <t>Continues declining from FY25's 4.0% but levels off - the FY21-25 drop (19.8% -&gt; 4.0%) reflects pre-IPO grants rolling off and won't repeat; expect it to settle near a typical public-company steady state (2.5-3.5% of revenue).</t>
  </si>
  <si>
    <t>Continues toward the lower end of typical public-company SBC levels.</t>
  </si>
  <si>
    <t>New equity grants increase to retain talent amid competitive hiring pressure.</t>
  </si>
  <si>
    <t>Scenario Assumptions</t>
  </si>
  <si>
    <t>DATA SOURCES - RAW IMPORTS</t>
  </si>
  <si>
    <t>Historical Ratios</t>
  </si>
  <si>
    <t>Assumptions - Driver Inputs</t>
  </si>
  <si>
    <t>Section A: Historical Ratios (FY2021-FY2025)</t>
  </si>
  <si>
    <t>Driver</t>
  </si>
  <si>
    <t>Scenario currently selected:</t>
  </si>
  <si>
    <t>Warby Parker - 3-Statement Model</t>
  </si>
  <si>
    <t>Scenario Selector</t>
  </si>
  <si>
    <t>Base</t>
  </si>
  <si>
    <t>Valid scenarios:</t>
  </si>
  <si>
    <t>Base, Best, Worst</t>
  </si>
  <si>
    <t>Section B: Selected Scenario Assumptions</t>
  </si>
  <si>
    <t>Income Statement</t>
  </si>
  <si>
    <t>Line Item</t>
  </si>
  <si>
    <t>Net revenue</t>
  </si>
  <si>
    <t>Cost of goods sold</t>
  </si>
  <si>
    <t>Gross profit</t>
  </si>
  <si>
    <t>Selling, general, and administrative expenses</t>
  </si>
  <si>
    <t>Operating income (loss)</t>
  </si>
  <si>
    <t>Interest and other income (loss), net</t>
  </si>
  <si>
    <t>Income (loss) before income taxes</t>
  </si>
  <si>
    <t>Provision for income taxes</t>
  </si>
  <si>
    <t>Net income (loss)</t>
  </si>
  <si>
    <t>QC Check: Formula vs. Reported</t>
  </si>
  <si>
    <t>Gross profit check</t>
  </si>
  <si>
    <t>Operating income check</t>
  </si>
  <si>
    <t>Net income check</t>
  </si>
  <si>
    <t>Reported: Gross profit</t>
  </si>
  <si>
    <t>Reported: Operating income</t>
  </si>
  <si>
    <t>Reported: Net income</t>
  </si>
  <si>
    <t>Balance Sheet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</si>
  <si>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</si>
  <si>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</si>
  <si>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</si>
  <si>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</si>
  <si>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</si>
  <si>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Property and equipment, net</t>
  </si>
  <si>
    <t>Right-of-use lease assets</t>
  </si>
  <si>
    <t>Other assets</t>
  </si>
  <si>
    <t>Total assets</t>
  </si>
  <si>
    <t>Accounts payable</t>
  </si>
  <si>
    <t>Accrued expenses</t>
  </si>
  <si>
    <t>Deferred revenue</t>
  </si>
  <si>
    <t>Current lease liabilities</t>
  </si>
  <si>
    <t>Other current liabilities</t>
  </si>
  <si>
    <t>Total current liabilities</t>
  </si>
  <si>
    <t>Non-current lease liabilities</t>
  </si>
  <si>
    <t>Deferred rent</t>
  </si>
  <si>
    <t>Other liabilities</t>
  </si>
  <si>
    <t>Total liabilities</t>
  </si>
  <si>
    <t>Common Stock</t>
  </si>
  <si>
    <t>Additional paid-in capital</t>
  </si>
  <si>
    <t>Accumulated deficit</t>
  </si>
  <si>
    <t>Accumulated other comprehensive income</t>
  </si>
  <si>
    <t>Total stockholders' equity</t>
  </si>
  <si>
    <t>Total liabilities and stockholders' equity</t>
  </si>
  <si>
    <t>Current assets check</t>
  </si>
  <si>
    <t>Total assets check</t>
  </si>
  <si>
    <t>Current liabilities check</t>
  </si>
  <si>
    <t>Total liabilities check</t>
  </si>
  <si>
    <t>Equity check</t>
  </si>
  <si>
    <t>Balance sheet ties</t>
  </si>
  <si>
    <t>Reported: Total current assets</t>
  </si>
  <si>
    <t>Reported: Total assets</t>
  </si>
  <si>
    <t>Reported: Total current liabilities</t>
  </si>
  <si>
    <t>Reported: Total liabilities</t>
  </si>
  <si>
    <t>Reported: Total stockholders' equity</t>
  </si>
  <si>
    <t>Cash Flow Statement</t>
  </si>
  <si>
    <t>Depreciation and amortization</t>
  </si>
  <si>
    <t>Stock-based compensation</t>
  </si>
  <si>
    <t>Amortization of cloud-based software implementation costs</t>
  </si>
  <si>
    <t>Asset impairment charges</t>
  </si>
  <si>
    <t>Non-cash charitable contribution</t>
  </si>
  <si>
    <t>Deferred rent (non-cash)</t>
  </si>
  <si>
    <t>Prepaid expenses and other assets</t>
  </si>
  <si>
    <t>Lease assets and liabilities</t>
  </si>
  <si>
    <t>Net cash provided by (used in) operating activities</t>
  </si>
  <si>
    <t>Purchases of property and equipment</t>
  </si>
  <si>
    <t>Investment in optical equipment company</t>
  </si>
  <si>
    <t>Net cash used in investing activities</t>
  </si>
  <si>
    <t>Net cash provided by (used in) financing activities</t>
  </si>
  <si>
    <t>Effect of exchange rates on cash</t>
  </si>
  <si>
    <t>Net increase (decrease) in cash</t>
  </si>
  <si>
    <t>Cash - beginning of year</t>
  </si>
  <si>
    <t>Cash - end of year</t>
  </si>
  <si>
    <t>Operating cash flow check</t>
  </si>
  <si>
    <t>Investing cash flow check</t>
  </si>
  <si>
    <t>Net change in cash check</t>
  </si>
  <si>
    <t>Reported: Net cash from operating activities</t>
  </si>
  <si>
    <t>Reported: Net cash used in investing activities</t>
  </si>
  <si>
    <t>Reported: Net increase (decrease) in cash</t>
  </si>
  <si>
    <t>GOLDEN TIE: CF ending cash = BS cash</t>
  </si>
  <si>
    <t>Forecast Income Statement (FY2026 - FY2030, $ in thousands)</t>
  </si>
  <si>
    <t>Historical Financials (FY2021 - FY2025, $ in thousands)</t>
  </si>
  <si>
    <t>Scenario:</t>
  </si>
  <si>
    <t>Supporting Schedules (FY2026–FY2030, $ in thousands)</t>
  </si>
  <si>
    <t>Working Capital Schedule</t>
  </si>
  <si>
    <t>PP&amp;E Roll-Forward</t>
  </si>
  <si>
    <t>Beginning PP&amp;E, net</t>
  </si>
  <si>
    <t>Capital expenditures (capex)</t>
  </si>
  <si>
    <t>Ending PP&amp;E, net</t>
  </si>
  <si>
    <t>Assets</t>
  </si>
  <si>
    <t>Liabilities and Equity</t>
  </si>
  <si>
    <t>Forecast Balance Sheet (FY2026 - FY2030, $ in thousands)</t>
  </si>
  <si>
    <t>Forecast Cash Flow Statement (FY2026 - FY2030, $ in thousands)</t>
  </si>
  <si>
    <t>Change in accounts receivable</t>
  </si>
  <si>
    <t>Change in inventory</t>
  </si>
  <si>
    <t>Change in accounts payable</t>
  </si>
  <si>
    <t>Net cash provided by operating activities</t>
  </si>
  <si>
    <t>Capital expenditures</t>
  </si>
  <si>
    <t>No new financing modeled - WRBY carries no debt in the historical data</t>
  </si>
  <si>
    <t>Cash, beginning of year</t>
  </si>
  <si>
    <t>Cash, end of year</t>
  </si>
  <si>
    <t>GOLDEN TIE: Assets = Liab + Equity</t>
  </si>
  <si>
    <t>Model Validation Dashboard</t>
  </si>
  <si>
    <t>All checks should read TRUE / 0. Any FALSE or nonzero value indicates a broken link or formula error.</t>
  </si>
  <si>
    <t>Check</t>
  </si>
  <si>
    <t>Balance Sheet balances</t>
  </si>
  <si>
    <t>Cash Flow ties to Balance Sheet cash</t>
  </si>
  <si>
    <t>Historical Balance Sheet ties</t>
  </si>
  <si>
    <t>Historical Cash Flow ties to Balance Sheet cash</t>
  </si>
  <si>
    <t>Scenario validity check</t>
  </si>
  <si>
    <t>Overall model status:</t>
  </si>
  <si>
    <t>Worst</t>
  </si>
  <si>
    <t>Scenario Comparison - Base vs. Best vs. Worst</t>
  </si>
  <si>
    <t>Independent of Control Panel toggle - shows all three scenarios at once.</t>
  </si>
  <si>
    <t>BASE CASE</t>
  </si>
  <si>
    <t>Effective tax rate %</t>
  </si>
  <si>
    <t>SG&amp;A</t>
  </si>
  <si>
    <t>BEST CASE</t>
  </si>
  <si>
    <t>WORST CASE</t>
  </si>
  <si>
    <t>2030 Scenario Comparison</t>
  </si>
  <si>
    <t>Metric</t>
  </si>
  <si>
    <t>Best</t>
  </si>
  <si>
    <t>Net margin %</t>
  </si>
  <si>
    <t>Income before taxes</t>
  </si>
  <si>
    <t>Warby Parker (WRBY) - 3-Statement Model Dashboard</t>
  </si>
  <si>
    <t>FY2026–FY2030 Forecast | Scenario:</t>
  </si>
  <si>
    <t>Key Metrics</t>
  </si>
  <si>
    <t>5-Yr Growth</t>
  </si>
  <si>
    <t>Operating margin %</t>
  </si>
  <si>
    <t>2030 Scenario Snapshot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</si>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</sst>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;\(#,##0\)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rgb="FF80808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b/>
      <sz val="11"/>
      <color rgb="FFFFFFFF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F2F2F2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i/>
      <sz val="10"/>
      <color rgb="FF80808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8000"/>
      <name val="Calibri"/>
      <family val="2"/>
      <scheme val="minor"/>
    </font>
    <font>
      <i/>
      <sz val="9"/>
      <color rgb="FF808080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sz val="18"/>
      <color rgb="FF1F4E78"/>
      <name val="Calibri"/>
      <family val="2"/>
      <scheme val="minor"/>
    </font>
    <font>
      <b/>
      <sz val="11"/>
      <color rgb="FFA6A6A6"/>
      <name val="Calibri"/>
      <family val="2"/>
      <scheme val="minor"/>
    </font>
    <font>
      <sz val="11"/>
      <color rgb="FFA6A6A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theme="1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theme="1"/>
      </bottom>
      <diagonal/>
    </border>
    <border>
      <left style="thin">
        <color rgb="FFBFBFBF"/>
      </left>
      <right style="thin">
        <color rgb="FFBFBFBF"/>
      </right>
      <top/>
      <bottom style="double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theme="1"/>
      </left>
      <right/>
      <top/>
      <bottom style="thin">
        <color rgb="FFFFC7CE"/>
      </bottom>
      <diagonal/>
    </border>
    <border>
      <left style="thin">
        <color rgb="FFFFC7CE"/>
      </left>
      <right style="thin">
        <color rgb="FFFFC7CE"/>
      </right>
      <top/>
      <bottom style="thin">
        <color rgb="FFFFC7CE"/>
      </bottom>
      <diagonal/>
    </border>
    <border>
      <left/>
      <right/>
      <top/>
      <bottom style="thin">
        <color rgb="FFFFC7CE"/>
      </bottom>
      <diagonal/>
    </border>
    <border>
      <left style="thin">
        <color rgb="FFFFC7CE"/>
      </left>
      <right style="thin">
        <color rgb="FFFFC7CE"/>
      </right>
      <top style="thin">
        <color rgb="FFFFC7CE"/>
      </top>
      <bottom style="double">
        <color theme="1"/>
      </bottom>
      <diagonal/>
    </border>
    <border>
      <left style="thin">
        <color rgb="FFFFC7CE"/>
      </left>
      <right/>
      <top style="thin">
        <color rgb="FFFFC7CE"/>
      </top>
      <bottom style="double">
        <color theme="1"/>
      </bottom>
      <diagonal/>
    </border>
    <border>
      <left/>
      <right/>
      <top style="thin">
        <color rgb="FFFFC7CE"/>
      </top>
      <bottom style="double">
        <color theme="1"/>
      </bottom>
      <diagonal/>
    </border>
    <border>
      <left style="thin">
        <color rgb="FFBFBFBF"/>
      </left>
      <right/>
      <top style="thin">
        <color rgb="FFBFBFBF"/>
      </top>
      <bottom style="double">
        <color theme="1"/>
      </bottom>
      <diagonal/>
    </border>
    <border>
      <left/>
      <right/>
      <top style="thin">
        <color rgb="FFBFBFBF"/>
      </top>
      <bottom style="double">
        <color theme="1"/>
      </bottom>
      <diagonal/>
    </border>
    <border>
      <left/>
      <right/>
      <top style="thin">
        <color theme="1"/>
      </top>
      <bottom style="thin">
        <color rgb="FFBFBFBF"/>
      </bottom>
      <diagonal/>
    </border>
    <border>
      <left/>
      <right style="thin">
        <color rgb="FFBFBFBF"/>
      </right>
      <top/>
      <bottom style="double">
        <color theme="1"/>
      </bottom>
      <diagonal/>
    </border>
    <border>
      <left/>
      <right style="thin">
        <color rgb="FFBFBFBF"/>
      </right>
      <top style="double">
        <color theme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double">
        <color theme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theme="1"/>
      </top>
      <bottom/>
      <diagonal/>
    </border>
    <border>
      <left/>
      <right style="thin">
        <color rgb="FFBFBFBF"/>
      </right>
      <top style="thin">
        <color rgb="FFBFBFBF"/>
      </top>
      <bottom style="double">
        <color theme="1"/>
      </bottom>
      <diagonal/>
    </border>
    <border>
      <left style="thin">
        <color theme="1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 style="thin">
        <color rgb="FFBFBFBF"/>
      </right>
      <top/>
      <bottom style="thin">
        <color rgb="FFBFBFBF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1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BFBFBF"/>
      </left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rgb="FFBFBFBF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7" fillId="0" borderId="1" xfId="0" applyFont="1" applyBorder="1" applyAlignment="1"/>
    <xf numFmtId="0" fontId="0" fillId="0" borderId="0" xfId="0" applyAlignment="1"/>
    <xf numFmtId="0" fontId="0" fillId="0" borderId="0" xfId="0" applyAlignment="1">
      <alignment horizontal="center"/>
    </xf>
    <xf numFmtId="0" fontId="9" fillId="0" borderId="0" xfId="0" applyFont="1" applyAlignment="1"/>
    <xf numFmtId="0" fontId="10" fillId="4" borderId="4" xfId="0" applyFont="1" applyFill="1" applyBorder="1" applyAlignment="1"/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/>
    <xf numFmtId="0" fontId="10" fillId="4" borderId="7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0" fillId="0" borderId="0" xfId="0" applyFont="1"/>
    <xf numFmtId="0" fontId="12" fillId="2" borderId="0" xfId="0" applyFont="1" applyFill="1"/>
    <xf numFmtId="0" fontId="13" fillId="0" borderId="0" xfId="0" applyFont="1"/>
    <xf numFmtId="0" fontId="14" fillId="0" borderId="0" xfId="0" applyFont="1"/>
    <xf numFmtId="164" fontId="13" fillId="0" borderId="0" xfId="1" applyNumberFormat="1" applyFont="1"/>
    <xf numFmtId="165" fontId="13" fillId="0" borderId="0" xfId="0" applyNumberFormat="1" applyFont="1"/>
    <xf numFmtId="0" fontId="16" fillId="0" borderId="13" xfId="0" applyFont="1" applyBorder="1"/>
    <xf numFmtId="166" fontId="0" fillId="0" borderId="0" xfId="0" applyNumberFormat="1" applyAlignment="1">
      <alignment horizontal="center"/>
    </xf>
    <xf numFmtId="166" fontId="5" fillId="0" borderId="0" xfId="0" applyNumberFormat="1" applyFont="1" applyAlignment="1">
      <alignment horizontal="center"/>
    </xf>
    <xf numFmtId="0" fontId="19" fillId="0" borderId="0" xfId="0" applyFont="1"/>
    <xf numFmtId="0" fontId="15" fillId="0" borderId="0" xfId="0" applyFont="1" applyAlignment="1"/>
    <xf numFmtId="0" fontId="10" fillId="4" borderId="0" xfId="0" applyFont="1" applyFill="1"/>
    <xf numFmtId="0" fontId="10" fillId="4" borderId="0" xfId="0" applyFont="1" applyFill="1" applyAlignment="1">
      <alignment horizontal="center"/>
    </xf>
    <xf numFmtId="166" fontId="18" fillId="0" borderId="10" xfId="0" applyNumberFormat="1" applyFont="1" applyBorder="1" applyAlignment="1">
      <alignment horizontal="center"/>
    </xf>
    <xf numFmtId="166" fontId="18" fillId="0" borderId="6" xfId="0" applyNumberFormat="1" applyFont="1" applyBorder="1" applyAlignment="1">
      <alignment horizontal="center"/>
    </xf>
    <xf numFmtId="0" fontId="1" fillId="0" borderId="4" xfId="0" applyFont="1" applyBorder="1"/>
    <xf numFmtId="166" fontId="1" fillId="0" borderId="4" xfId="0" applyNumberFormat="1" applyFont="1" applyBorder="1" applyAlignment="1">
      <alignment horizontal="center"/>
    </xf>
    <xf numFmtId="0" fontId="0" fillId="0" borderId="4" xfId="0" applyBorder="1"/>
    <xf numFmtId="0" fontId="0" fillId="0" borderId="14" xfId="0" applyBorder="1"/>
    <xf numFmtId="166" fontId="1" fillId="0" borderId="15" xfId="0" applyNumberFormat="1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1" fillId="0" borderId="19" xfId="0" applyFont="1" applyBorder="1"/>
    <xf numFmtId="0" fontId="0" fillId="0" borderId="18" xfId="0" applyBorder="1" applyAlignment="1">
      <alignment wrapText="1"/>
    </xf>
    <xf numFmtId="166" fontId="18" fillId="0" borderId="4" xfId="0" applyNumberFormat="1" applyFont="1" applyBorder="1" applyAlignment="1">
      <alignment horizontal="center"/>
    </xf>
    <xf numFmtId="166" fontId="1" fillId="0" borderId="10" xfId="0" applyNumberFormat="1" applyFont="1" applyBorder="1" applyAlignment="1">
      <alignment horizontal="center"/>
    </xf>
    <xf numFmtId="166" fontId="18" fillId="0" borderId="20" xfId="0" applyNumberFormat="1" applyFont="1" applyBorder="1" applyAlignment="1">
      <alignment horizontal="center"/>
    </xf>
    <xf numFmtId="166" fontId="18" fillId="0" borderId="9" xfId="0" applyNumberFormat="1" applyFont="1" applyBorder="1" applyAlignment="1">
      <alignment horizontal="center"/>
    </xf>
    <xf numFmtId="166" fontId="1" fillId="0" borderId="0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0" fillId="0" borderId="4" xfId="0" applyBorder="1" applyAlignment="1">
      <alignment wrapText="1"/>
    </xf>
    <xf numFmtId="0" fontId="1" fillId="0" borderId="11" xfId="0" applyFont="1" applyBorder="1"/>
    <xf numFmtId="166" fontId="1" fillId="0" borderId="11" xfId="0" applyNumberFormat="1" applyFont="1" applyBorder="1" applyAlignment="1">
      <alignment horizontal="center"/>
    </xf>
    <xf numFmtId="0" fontId="0" fillId="0" borderId="15" xfId="0" applyBorder="1" applyAlignment="1">
      <alignment wrapText="1"/>
    </xf>
    <xf numFmtId="166" fontId="18" fillId="0" borderId="15" xfId="0" applyNumberFormat="1" applyFont="1" applyBorder="1" applyAlignment="1">
      <alignment horizontal="center"/>
    </xf>
    <xf numFmtId="0" fontId="1" fillId="0" borderId="15" xfId="0" applyFont="1" applyBorder="1"/>
    <xf numFmtId="0" fontId="1" fillId="0" borderId="22" xfId="0" applyFont="1" applyBorder="1"/>
    <xf numFmtId="166" fontId="1" fillId="0" borderId="23" xfId="0" applyNumberFormat="1" applyFont="1" applyBorder="1" applyAlignment="1">
      <alignment horizontal="center"/>
    </xf>
    <xf numFmtId="166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8" fillId="0" borderId="25" xfId="0" applyNumberFormat="1" applyFont="1" applyBorder="1" applyAlignment="1">
      <alignment horizontal="center"/>
    </xf>
    <xf numFmtId="166" fontId="18" fillId="0" borderId="27" xfId="0" applyNumberFormat="1" applyFont="1" applyBorder="1" applyAlignment="1">
      <alignment horizontal="center"/>
    </xf>
    <xf numFmtId="0" fontId="0" fillId="0" borderId="19" xfId="0" applyBorder="1"/>
    <xf numFmtId="0" fontId="1" fillId="0" borderId="18" xfId="0" applyFont="1" applyBorder="1"/>
    <xf numFmtId="166" fontId="0" fillId="0" borderId="6" xfId="0" applyNumberFormat="1" applyBorder="1" applyAlignment="1">
      <alignment horizontal="center"/>
    </xf>
    <xf numFmtId="166" fontId="18" fillId="0" borderId="11" xfId="0" applyNumberFormat="1" applyFon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18" fillId="0" borderId="0" xfId="0" applyNumberFormat="1" applyFont="1" applyBorder="1" applyAlignment="1">
      <alignment horizontal="center"/>
    </xf>
    <xf numFmtId="166" fontId="18" fillId="0" borderId="3" xfId="0" applyNumberFormat="1" applyFont="1" applyBorder="1" applyAlignment="1">
      <alignment horizontal="center"/>
    </xf>
    <xf numFmtId="166" fontId="1" fillId="0" borderId="9" xfId="0" applyNumberFormat="1" applyFon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6" fontId="6" fillId="0" borderId="6" xfId="0" applyNumberFormat="1" applyFont="1" applyBorder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166" fontId="6" fillId="0" borderId="0" xfId="0" applyNumberFormat="1" applyFont="1" applyBorder="1" applyAlignment="1">
      <alignment horizontal="center"/>
    </xf>
    <xf numFmtId="0" fontId="1" fillId="0" borderId="14" xfId="0" applyFont="1" applyBorder="1"/>
    <xf numFmtId="0" fontId="0" fillId="0" borderId="28" xfId="0" applyBorder="1"/>
    <xf numFmtId="166" fontId="0" fillId="0" borderId="15" xfId="0" applyNumberFormat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0" fontId="1" fillId="5" borderId="0" xfId="0" applyFont="1" applyFill="1"/>
    <xf numFmtId="0" fontId="10" fillId="4" borderId="30" xfId="0" applyFont="1" applyFill="1" applyBorder="1"/>
    <xf numFmtId="0" fontId="24" fillId="5" borderId="0" xfId="0" applyFont="1" applyFill="1" applyAlignment="1">
      <alignment horizontal="center"/>
    </xf>
    <xf numFmtId="0" fontId="17" fillId="4" borderId="4" xfId="0" applyFont="1" applyFill="1" applyBorder="1" applyAlignment="1">
      <alignment horizontal="center"/>
    </xf>
    <xf numFmtId="0" fontId="0" fillId="0" borderId="11" xfId="0" applyBorder="1"/>
    <xf numFmtId="0" fontId="17" fillId="4" borderId="6" xfId="0" applyFont="1" applyFill="1" applyBorder="1"/>
    <xf numFmtId="0" fontId="17" fillId="4" borderId="6" xfId="0" applyFont="1" applyFill="1" applyBorder="1" applyAlignment="1">
      <alignment horizontal="center"/>
    </xf>
    <xf numFmtId="0" fontId="0" fillId="0" borderId="15" xfId="0" applyBorder="1"/>
    <xf numFmtId="0" fontId="1" fillId="0" borderId="0" xfId="0" applyFont="1" applyAlignment="1"/>
    <xf numFmtId="0" fontId="7" fillId="0" borderId="13" xfId="0" applyFont="1" applyBorder="1"/>
    <xf numFmtId="166" fontId="0" fillId="0" borderId="21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0" fontId="0" fillId="0" borderId="31" xfId="0" applyBorder="1"/>
    <xf numFmtId="166" fontId="0" fillId="0" borderId="16" xfId="0" applyNumberFormat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0" fontId="1" fillId="0" borderId="32" xfId="0" applyFont="1" applyBorder="1"/>
    <xf numFmtId="166" fontId="1" fillId="0" borderId="18" xfId="0" applyNumberFormat="1" applyFont="1" applyBorder="1" applyAlignment="1">
      <alignment horizontal="center"/>
    </xf>
    <xf numFmtId="166" fontId="1" fillId="0" borderId="32" xfId="0" applyNumberFormat="1" applyFont="1" applyBorder="1" applyAlignment="1">
      <alignment horizontal="center"/>
    </xf>
    <xf numFmtId="166" fontId="1" fillId="0" borderId="33" xfId="0" applyNumberFormat="1" applyFont="1" applyBorder="1" applyAlignment="1">
      <alignment horizontal="center"/>
    </xf>
    <xf numFmtId="0" fontId="0" fillId="0" borderId="8" xfId="0" applyBorder="1"/>
    <xf numFmtId="166" fontId="0" fillId="0" borderId="8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37" fontId="1" fillId="0" borderId="4" xfId="0" applyNumberFormat="1" applyFont="1" applyBorder="1" applyAlignment="1">
      <alignment horizontal="center"/>
    </xf>
    <xf numFmtId="37" fontId="6" fillId="0" borderId="10" xfId="0" applyNumberFormat="1" applyFont="1" applyBorder="1" applyAlignment="1">
      <alignment horizontal="center"/>
    </xf>
    <xf numFmtId="37" fontId="6" fillId="0" borderId="0" xfId="0" applyNumberFormat="1" applyFont="1" applyBorder="1" applyAlignment="1">
      <alignment horizontal="center"/>
    </xf>
    <xf numFmtId="37" fontId="6" fillId="0" borderId="4" xfId="0" applyNumberFormat="1" applyFont="1" applyBorder="1" applyAlignment="1">
      <alignment horizontal="center"/>
    </xf>
    <xf numFmtId="37" fontId="6" fillId="0" borderId="9" xfId="0" applyNumberFormat="1" applyFont="1" applyBorder="1" applyAlignment="1">
      <alignment horizontal="center"/>
    </xf>
    <xf numFmtId="37" fontId="1" fillId="0" borderId="9" xfId="0" applyNumberFormat="1" applyFont="1" applyBorder="1" applyAlignment="1">
      <alignment horizontal="center"/>
    </xf>
    <xf numFmtId="37" fontId="6" fillId="0" borderId="11" xfId="0" applyNumberFormat="1" applyFont="1" applyBorder="1" applyAlignment="1">
      <alignment horizontal="center"/>
    </xf>
    <xf numFmtId="0" fontId="17" fillId="4" borderId="5" xfId="0" applyFont="1" applyFill="1" applyBorder="1" applyAlignment="1">
      <alignment horizontal="center"/>
    </xf>
    <xf numFmtId="0" fontId="17" fillId="4" borderId="34" xfId="0" applyFont="1" applyFill="1" applyBorder="1"/>
    <xf numFmtId="0" fontId="1" fillId="0" borderId="31" xfId="0" applyFont="1" applyBorder="1"/>
    <xf numFmtId="37" fontId="1" fillId="0" borderId="16" xfId="0" applyNumberFormat="1" applyFont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37" fontId="6" fillId="0" borderId="2" xfId="0" applyNumberFormat="1" applyFont="1" applyBorder="1" applyAlignment="1">
      <alignment horizontal="center"/>
    </xf>
    <xf numFmtId="37" fontId="6" fillId="0" borderId="12" xfId="0" applyNumberFormat="1" applyFont="1" applyBorder="1" applyAlignment="1">
      <alignment horizontal="center"/>
    </xf>
    <xf numFmtId="37" fontId="1" fillId="0" borderId="31" xfId="0" applyNumberFormat="1" applyFont="1" applyBorder="1" applyAlignment="1">
      <alignment horizontal="center"/>
    </xf>
    <xf numFmtId="37" fontId="1" fillId="0" borderId="8" xfId="0" applyNumberFormat="1" applyFont="1" applyBorder="1" applyAlignment="1">
      <alignment horizontal="center"/>
    </xf>
    <xf numFmtId="37" fontId="6" fillId="0" borderId="3" xfId="0" applyNumberFormat="1" applyFont="1" applyBorder="1" applyAlignment="1">
      <alignment horizontal="center"/>
    </xf>
    <xf numFmtId="37" fontId="6" fillId="0" borderId="8" xfId="0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wrapText="1"/>
    </xf>
    <xf numFmtId="37" fontId="1" fillId="0" borderId="15" xfId="0" applyNumberFormat="1" applyFont="1" applyBorder="1" applyAlignment="1">
      <alignment horizontal="center"/>
    </xf>
    <xf numFmtId="37" fontId="1" fillId="0" borderId="32" xfId="0" applyNumberFormat="1" applyFont="1" applyBorder="1" applyAlignment="1">
      <alignment horizontal="center"/>
    </xf>
    <xf numFmtId="37" fontId="1" fillId="0" borderId="33" xfId="0" applyNumberFormat="1" applyFont="1" applyBorder="1" applyAlignment="1">
      <alignment horizontal="center"/>
    </xf>
    <xf numFmtId="0" fontId="25" fillId="0" borderId="0" xfId="0" applyFont="1" applyAlignment="1"/>
    <xf numFmtId="0" fontId="0" fillId="0" borderId="36" xfId="0" applyBorder="1"/>
    <xf numFmtId="0" fontId="0" fillId="0" borderId="35" xfId="0" applyBorder="1"/>
    <xf numFmtId="37" fontId="0" fillId="0" borderId="4" xfId="0" applyNumberFormat="1" applyFont="1" applyBorder="1" applyAlignment="1">
      <alignment horizontal="center"/>
    </xf>
    <xf numFmtId="37" fontId="0" fillId="0" borderId="9" xfId="0" applyNumberFormat="1" applyFont="1" applyBorder="1" applyAlignment="1">
      <alignment horizontal="center"/>
    </xf>
    <xf numFmtId="37" fontId="0" fillId="0" borderId="8" xfId="0" applyNumberFormat="1" applyFont="1" applyBorder="1" applyAlignment="1">
      <alignment horizontal="center"/>
    </xf>
    <xf numFmtId="166" fontId="6" fillId="0" borderId="9" xfId="0" applyNumberFormat="1" applyFont="1" applyBorder="1" applyAlignment="1">
      <alignment horizontal="center"/>
    </xf>
    <xf numFmtId="166" fontId="6" fillId="0" borderId="8" xfId="0" applyNumberFormat="1" applyFont="1" applyBorder="1" applyAlignment="1">
      <alignment horizontal="center"/>
    </xf>
    <xf numFmtId="166" fontId="6" fillId="0" borderId="10" xfId="0" applyNumberFormat="1" applyFont="1" applyBorder="1" applyAlignment="1">
      <alignment horizontal="center"/>
    </xf>
    <xf numFmtId="166" fontId="0" fillId="0" borderId="8" xfId="0" applyNumberFormat="1" applyFont="1" applyBorder="1" applyAlignment="1">
      <alignment horizontal="center"/>
    </xf>
    <xf numFmtId="166" fontId="0" fillId="0" borderId="11" xfId="0" applyNumberFormat="1" applyFont="1" applyBorder="1" applyAlignment="1">
      <alignment horizontal="center"/>
    </xf>
    <xf numFmtId="166" fontId="0" fillId="0" borderId="18" xfId="0" applyNumberFormat="1" applyFont="1" applyBorder="1" applyAlignment="1">
      <alignment horizontal="center"/>
    </xf>
    <xf numFmtId="166" fontId="0" fillId="0" borderId="4" xfId="0" applyNumberFormat="1" applyFont="1" applyBorder="1" applyAlignment="1">
      <alignment horizontal="center"/>
    </xf>
    <xf numFmtId="0" fontId="26" fillId="0" borderId="0" xfId="0" applyFont="1" applyAlignment="1">
      <alignment wrapText="1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wrapText="1"/>
    </xf>
    <xf numFmtId="0" fontId="17" fillId="4" borderId="0" xfId="0" applyFont="1" applyFill="1"/>
    <xf numFmtId="0" fontId="17" fillId="4" borderId="0" xfId="0" applyFont="1" applyFill="1" applyAlignment="1">
      <alignment horizontal="center"/>
    </xf>
    <xf numFmtId="37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37" xfId="0" applyBorder="1"/>
    <xf numFmtId="37" fontId="0" fillId="0" borderId="6" xfId="0" applyNumberFormat="1" applyBorder="1" applyAlignment="1">
      <alignment horizontal="center"/>
    </xf>
    <xf numFmtId="37" fontId="0" fillId="0" borderId="4" xfId="0" applyNumberFormat="1" applyBorder="1" applyAlignment="1">
      <alignment horizontal="center"/>
    </xf>
    <xf numFmtId="37" fontId="0" fillId="0" borderId="8" xfId="0" applyNumberFormat="1" applyBorder="1" applyAlignment="1">
      <alignment horizontal="center"/>
    </xf>
    <xf numFmtId="0" fontId="0" fillId="0" borderId="38" xfId="0" applyBorder="1"/>
    <xf numFmtId="0" fontId="17" fillId="4" borderId="10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166" fontId="5" fillId="0" borderId="4" xfId="0" applyNumberFormat="1" applyFont="1" applyBorder="1" applyAlignment="1">
      <alignment horizontal="center"/>
    </xf>
    <xf numFmtId="0" fontId="16" fillId="0" borderId="0" xfId="0" applyFont="1"/>
    <xf numFmtId="0" fontId="17" fillId="4" borderId="0" xfId="0" applyFont="1" applyFill="1" applyAlignment="1">
      <alignment horizontal="left"/>
    </xf>
    <xf numFmtId="0" fontId="16" fillId="0" borderId="3" xfId="0" applyFont="1" applyBorder="1"/>
    <xf numFmtId="0" fontId="17" fillId="4" borderId="3" xfId="0" applyFont="1" applyFill="1" applyBorder="1" applyAlignment="1">
      <alignment horizontal="center"/>
    </xf>
    <xf numFmtId="0" fontId="17" fillId="4" borderId="0" xfId="0" applyFont="1" applyFill="1" applyBorder="1" applyAlignment="1">
      <alignment horizontal="center"/>
    </xf>
    <xf numFmtId="37" fontId="0" fillId="0" borderId="10" xfId="0" applyNumberFormat="1" applyBorder="1" applyAlignment="1">
      <alignment horizontal="center"/>
    </xf>
    <xf numFmtId="37" fontId="0" fillId="0" borderId="0" xfId="0" applyNumberFormat="1" applyBorder="1" applyAlignment="1">
      <alignment horizontal="center"/>
    </xf>
    <xf numFmtId="37" fontId="0" fillId="0" borderId="9" xfId="0" applyNumberFormat="1" applyBorder="1" applyAlignment="1">
      <alignment horizontal="center"/>
    </xf>
    <xf numFmtId="0" fontId="16" fillId="0" borderId="0" xfId="0" applyFont="1" applyBorder="1"/>
    <xf numFmtId="164" fontId="0" fillId="0" borderId="8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164" fontId="0" fillId="0" borderId="4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2" xfId="0" applyBorder="1"/>
    <xf numFmtId="0" fontId="0" fillId="0" borderId="6" xfId="0" applyBorder="1"/>
    <xf numFmtId="164" fontId="0" fillId="0" borderId="6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37" fontId="0" fillId="0" borderId="15" xfId="0" applyNumberFormat="1" applyBorder="1" applyAlignment="1">
      <alignment horizontal="center"/>
    </xf>
    <xf numFmtId="37" fontId="1" fillId="0" borderId="11" xfId="0" applyNumberFormat="1" applyFont="1" applyBorder="1" applyAlignment="1">
      <alignment horizontal="center"/>
    </xf>
    <xf numFmtId="37" fontId="1" fillId="0" borderId="10" xfId="0" applyNumberFormat="1" applyFont="1" applyBorder="1" applyAlignment="1">
      <alignment horizontal="center"/>
    </xf>
    <xf numFmtId="37" fontId="1" fillId="0" borderId="0" xfId="0" applyNumberFormat="1" applyFont="1" applyBorder="1" applyAlignment="1">
      <alignment horizontal="center"/>
    </xf>
    <xf numFmtId="37" fontId="1" fillId="0" borderId="18" xfId="0" applyNumberFormat="1" applyFont="1" applyBorder="1" applyAlignment="1">
      <alignment horizontal="center"/>
    </xf>
    <xf numFmtId="0" fontId="0" fillId="0" borderId="4" xfId="0" applyFont="1" applyFill="1" applyBorder="1" applyAlignment="1"/>
    <xf numFmtId="164" fontId="11" fillId="0" borderId="8" xfId="1" applyNumberFormat="1" applyFont="1" applyFill="1" applyBorder="1" applyAlignment="1">
      <alignment horizontal="center"/>
    </xf>
    <xf numFmtId="164" fontId="0" fillId="0" borderId="8" xfId="1" applyNumberFormat="1" applyFont="1" applyFill="1" applyBorder="1" applyAlignment="1">
      <alignment horizontal="center"/>
    </xf>
    <xf numFmtId="164" fontId="0" fillId="0" borderId="9" xfId="1" applyNumberFormat="1" applyFont="1" applyFill="1" applyBorder="1" applyAlignment="1">
      <alignment horizontal="center"/>
    </xf>
    <xf numFmtId="164" fontId="0" fillId="0" borderId="4" xfId="1" applyNumberFormat="1" applyFont="1" applyFill="1" applyBorder="1" applyAlignment="1">
      <alignment horizontal="center"/>
    </xf>
    <xf numFmtId="0" fontId="0" fillId="0" borderId="10" xfId="0" applyFont="1" applyFill="1" applyBorder="1" applyAlignment="1"/>
    <xf numFmtId="164" fontId="0" fillId="0" borderId="2" xfId="1" applyNumberFormat="1" applyFont="1" applyFill="1" applyBorder="1" applyAlignment="1">
      <alignment horizontal="center"/>
    </xf>
    <xf numFmtId="164" fontId="0" fillId="0" borderId="6" xfId="1" applyNumberFormat="1" applyFont="1" applyFill="1" applyBorder="1" applyAlignment="1">
      <alignment horizontal="center"/>
    </xf>
    <xf numFmtId="164" fontId="0" fillId="0" borderId="7" xfId="1" applyNumberFormat="1" applyFont="1" applyFill="1" applyBorder="1" applyAlignment="1">
      <alignment horizontal="center"/>
    </xf>
    <xf numFmtId="164" fontId="0" fillId="0" borderId="5" xfId="1" applyNumberFormat="1" applyFont="1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164" fontId="0" fillId="0" borderId="10" xfId="1" applyNumberFormat="1" applyFont="1" applyFill="1" applyBorder="1" applyAlignment="1">
      <alignment horizontal="center"/>
    </xf>
    <xf numFmtId="164" fontId="11" fillId="0" borderId="9" xfId="1" applyNumberFormat="1" applyFont="1" applyFill="1" applyBorder="1" applyAlignment="1">
      <alignment horizontal="center"/>
    </xf>
    <xf numFmtId="164" fontId="11" fillId="0" borderId="4" xfId="1" applyNumberFormat="1" applyFont="1" applyFill="1" applyBorder="1" applyAlignment="1">
      <alignment horizontal="center"/>
    </xf>
    <xf numFmtId="165" fontId="0" fillId="0" borderId="2" xfId="0" applyNumberFormat="1" applyFont="1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0" fillId="0" borderId="10" xfId="0" applyNumberFormat="1" applyFont="1" applyFill="1" applyBorder="1" applyAlignment="1">
      <alignment horizontal="center"/>
    </xf>
    <xf numFmtId="165" fontId="0" fillId="0" borderId="8" xfId="0" applyNumberFormat="1" applyFont="1" applyFill="1" applyBorder="1" applyAlignment="1">
      <alignment horizontal="center"/>
    </xf>
    <xf numFmtId="165" fontId="0" fillId="0" borderId="9" xfId="0" applyNumberFormat="1" applyFont="1" applyFill="1" applyBorder="1" applyAlignment="1">
      <alignment horizontal="center"/>
    </xf>
    <xf numFmtId="165" fontId="0" fillId="0" borderId="4" xfId="0" applyNumberFormat="1" applyFont="1" applyFill="1" applyBorder="1" applyAlignment="1">
      <alignment horizontal="center"/>
    </xf>
    <xf numFmtId="0" fontId="0" fillId="0" borderId="11" xfId="0" applyFont="1" applyFill="1" applyBorder="1" applyAlignment="1"/>
    <xf numFmtId="164" fontId="0" fillId="0" borderId="12" xfId="1" applyNumberFormat="1" applyFont="1" applyFill="1" applyBorder="1" applyAlignment="1">
      <alignment horizontal="center"/>
    </xf>
    <xf numFmtId="164" fontId="0" fillId="0" borderId="3" xfId="1" applyNumberFormat="1" applyFont="1" applyFill="1" applyBorder="1" applyAlignment="1">
      <alignment horizontal="center"/>
    </xf>
    <xf numFmtId="164" fontId="0" fillId="0" borderId="11" xfId="1" applyNumberFormat="1" applyFont="1" applyFill="1" applyBorder="1" applyAlignment="1">
      <alignment horizontal="center"/>
    </xf>
    <xf numFmtId="0" fontId="27" fillId="0" borderId="0" xfId="0" applyFont="1" applyAlignment="1"/>
    <xf numFmtId="0" fontId="27" fillId="0" borderId="0" xfId="0" applyFont="1" applyAlignment="1"/>
    <xf numFmtId="0" fontId="7" fillId="0" borderId="0" xfId="0" applyFont="1" applyAlignment="1">
      <alignment horizontal="left"/>
    </xf>
    <xf numFmtId="0" fontId="1" fillId="0" borderId="0" xfId="0" applyFont="1" applyAlignment="1"/>
    <xf numFmtId="0" fontId="28" fillId="0" borderId="0" xfId="0" applyFont="1" applyFill="1" applyAlignment="1">
      <alignment horizontal="left"/>
    </xf>
    <xf numFmtId="0" fontId="28" fillId="0" borderId="0" xfId="0" applyFont="1" applyFill="1" applyAlignment="1">
      <alignment horizontal="center"/>
    </xf>
    <xf numFmtId="0" fontId="29" fillId="0" borderId="0" xfId="0" applyFont="1"/>
    <xf numFmtId="37" fontId="29" fillId="0" borderId="0" xfId="0" applyNumberFormat="1" applyFont="1" applyAlignment="1">
      <alignment horizontal="center"/>
    </xf>
    <xf numFmtId="0" fontId="0" fillId="0" borderId="41" xfId="0" applyBorder="1"/>
    <xf numFmtId="37" fontId="0" fillId="0" borderId="41" xfId="0" applyNumberFormat="1" applyBorder="1" applyAlignment="1">
      <alignment horizontal="center"/>
    </xf>
    <xf numFmtId="164" fontId="0" fillId="0" borderId="41" xfId="1" applyNumberFormat="1" applyFont="1" applyBorder="1" applyAlignment="1">
      <alignment horizontal="center"/>
    </xf>
    <xf numFmtId="0" fontId="0" fillId="0" borderId="42" xfId="0" applyBorder="1"/>
    <xf numFmtId="37" fontId="0" fillId="0" borderId="43" xfId="0" applyNumberFormat="1" applyBorder="1" applyAlignment="1">
      <alignment horizontal="center"/>
    </xf>
    <xf numFmtId="164" fontId="0" fillId="0" borderId="43" xfId="1" applyNumberFormat="1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0" xfId="0" applyBorder="1" applyAlignment="1">
      <alignment horizontal="center"/>
    </xf>
    <xf numFmtId="166" fontId="5" fillId="0" borderId="41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45"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colors>
    <mruColors>
      <color rgb="FFF2F2F2"/>
      <color rgb="FFA6A6A6"/>
      <color rgb="FFBFBFBF"/>
      <color rgb="FF008000"/>
      <color rgb="FF1F4E78"/>
      <color rgb="FFFFC000"/>
      <color rgb="FF9C0006"/>
      <color rgb="FFFFC7CE"/>
      <color rgb="FF0061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>
                <a:solidFill>
                  <a:srgbClr val="1F4E78"/>
                </a:solidFill>
              </a:rPr>
              <a:t>Operating Leverage: Margin Improvement (FY2026–FY2030)</a:t>
            </a:r>
            <a:endParaRPr lang="en-US" sz="1050" b="1">
              <a:solidFill>
                <a:srgbClr val="1F4E78"/>
              </a:solidFill>
            </a:endParaRPr>
          </a:p>
        </c:rich>
      </c:tx>
      <c:layout>
        <c:manualLayout>
          <c:xMode val="edge"/>
          <c:yMode val="edge"/>
          <c:x val="0.16803596545423477"/>
          <c:y val="4.707649890334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61592300962382E-2"/>
          <c:y val="0.18717592592592591"/>
          <c:w val="0.87868285214348207"/>
          <c:h val="0.59952136191309424"/>
        </c:manualLayout>
      </c:layout>
      <c:lineChart>
        <c:grouping val="standard"/>
        <c:varyColors val="0"/>
        <c:ser>
          <c:idx val="0"/>
          <c:order val="0"/>
          <c:tx>
            <c:strRef>
              <c:f>'09_Dashboard'!$A$13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575" cap="rnd">
              <a:solidFill>
                <a:srgbClr val="008000"/>
              </a:solidFill>
              <a:round/>
            </a:ln>
            <a:effectLst/>
          </c:spPr>
          <c:marker>
            <c:symbol val="none"/>
          </c:marker>
          <c:cat>
            <c:numRef>
              <c:f>'09_Dashboard'!$B$11:$F$11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'09_Dashboard'!$B$13:$F$13</c:f>
              <c:numCache>
                <c:formatCode>0.0%</c:formatCode>
                <c:ptCount val="5"/>
                <c:pt idx="0">
                  <c:v>2.0000000000000063E-2</c:v>
                </c:pt>
                <c:pt idx="1">
                  <c:v>4.7500000000000056E-2</c:v>
                </c:pt>
                <c:pt idx="2">
                  <c:v>7.5000000000000067E-2</c:v>
                </c:pt>
                <c:pt idx="3">
                  <c:v>0.10249999999999992</c:v>
                </c:pt>
                <c:pt idx="4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D9-4C3B-8AC1-7975640D150B}"/>
            </c:ext>
          </c:extLst>
        </c:ser>
        <c:ser>
          <c:idx val="1"/>
          <c:order val="1"/>
          <c:tx>
            <c:strRef>
              <c:f>'09_Dashboard'!$A$14</c:f>
              <c:strCache>
                <c:ptCount val="1"/>
                <c:pt idx="0">
                  <c:v>Net margin %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'09_Dashboard'!$B$11:$F$11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'09_Dashboard'!$B$14:$F$14</c:f>
              <c:numCache>
                <c:formatCode>0.0%</c:formatCode>
                <c:ptCount val="5"/>
                <c:pt idx="0">
                  <c:v>2.6938688972646913E-2</c:v>
                </c:pt>
                <c:pt idx="1">
                  <c:v>5.0032626904469357E-2</c:v>
                </c:pt>
                <c:pt idx="2">
                  <c:v>7.1301098718788411E-2</c:v>
                </c:pt>
                <c:pt idx="3">
                  <c:v>9.0694497629576723E-2</c:v>
                </c:pt>
                <c:pt idx="4">
                  <c:v>0.10817436934641542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D9-4C3B-8AC1-7975640D1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9735695"/>
        <c:axId val="1936928671"/>
      </c:lineChart>
      <c:catAx>
        <c:axId val="196973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928671"/>
        <c:crosses val="autoZero"/>
        <c:auto val="1"/>
        <c:lblAlgn val="ctr"/>
        <c:lblOffset val="100"/>
        <c:noMultiLvlLbl val="0"/>
      </c:catAx>
      <c:valAx>
        <c:axId val="193692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73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905446084681818"/>
          <c:y val="0.91204658345620604"/>
          <c:w val="0.4618241250728467"/>
          <c:h val="7.61278409897727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1" i="0" u="none" strike="noStrike" kern="1200" baseline="0">
              <a:solidFill>
                <a:srgbClr val="1F4E78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50" b="1" i="0" u="none" strike="noStrike" kern="1200" spc="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kern="1200" spc="0" baseline="0">
                <a:solidFill>
                  <a:srgbClr val="1F4E78"/>
                </a:solidFill>
                <a:latin typeface="+mn-lt"/>
                <a:ea typeface="+mn-ea"/>
                <a:cs typeface="+mn-cs"/>
              </a:rPr>
              <a:t>Revenue &amp; Net Income (FY2026–FY2030)</a:t>
            </a:r>
          </a:p>
        </c:rich>
      </c:tx>
      <c:layout>
        <c:manualLayout>
          <c:xMode val="edge"/>
          <c:yMode val="edge"/>
          <c:x val="0.27538888888888891"/>
          <c:y val="5.7250907900635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50" b="1" i="0" u="none" strike="noStrike" kern="1200" spc="0" baseline="0">
              <a:solidFill>
                <a:srgbClr val="1F4E7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03958880139984"/>
          <c:y val="0.23527777777777778"/>
          <c:w val="0.73549037620297464"/>
          <c:h val="0.551419510061242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'09_Dashboard'!$A$18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cat>
            <c:numRef>
              <c:f>'09_Dashboard'!$B$17:$F$17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'09_Dashboard'!$B$18:$F$18</c:f>
              <c:numCache>
                <c:formatCode>#,##0_);\(#,##0\)</c:formatCode>
                <c:ptCount val="5"/>
                <c:pt idx="0">
                  <c:v>1002690.7499999999</c:v>
                </c:pt>
                <c:pt idx="1">
                  <c:v>1143067.4550000001</c:v>
                </c:pt>
                <c:pt idx="2">
                  <c:v>1291666.2241499999</c:v>
                </c:pt>
                <c:pt idx="3">
                  <c:v>1446666.171048</c:v>
                </c:pt>
                <c:pt idx="4">
                  <c:v>1605799.4498632802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A-4F72-8C18-1C68FB53C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231087"/>
        <c:axId val="1829550959"/>
      </c:barChart>
      <c:lineChart>
        <c:grouping val="standard"/>
        <c:varyColors val="0"/>
        <c:ser>
          <c:idx val="1"/>
          <c:order val="1"/>
          <c:tx>
            <c:strRef>
              <c:f>'09_Dashboard'!$A$19</c:f>
              <c:strCache>
                <c:ptCount val="1"/>
                <c:pt idx="0">
                  <c:v>Net income (loss)</c:v>
                </c:pt>
              </c:strCache>
            </c:strRef>
          </c:tx>
          <c:spPr>
            <a:ln w="28575" cap="rnd">
              <a:solidFill>
                <a:srgbClr val="008000"/>
              </a:solidFill>
              <a:round/>
            </a:ln>
            <a:effectLst/>
          </c:spPr>
          <c:marker>
            <c:symbol val="none"/>
          </c:marker>
          <c:cat>
            <c:numRef>
              <c:f>'09_Dashboard'!$B$17:$F$17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'09_Dashboard'!$B$19:$F$19</c:f>
              <c:numCache>
                <c:formatCode>#,##0_);\(#,##0\)</c:formatCode>
                <c:ptCount val="5"/>
                <c:pt idx="0">
                  <c:v>27011.174250000058</c:v>
                </c:pt>
                <c:pt idx="1">
                  <c:v>57190.667502656317</c:v>
                </c:pt>
                <c:pt idx="2">
                  <c:v>92097.22095984382</c:v>
                </c:pt>
                <c:pt idx="3">
                  <c:v>131204.66162090166</c:v>
                </c:pt>
                <c:pt idx="4">
                  <c:v>173706.34278578116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CA-4F72-8C18-1C68FB53C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774111"/>
        <c:axId val="1968835375"/>
      </c:lineChart>
      <c:catAx>
        <c:axId val="197023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550959"/>
        <c:crosses val="autoZero"/>
        <c:auto val="1"/>
        <c:lblAlgn val="ctr"/>
        <c:lblOffset val="100"/>
        <c:noMultiLvlLbl val="0"/>
      </c:catAx>
      <c:valAx>
        <c:axId val="182955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231087"/>
        <c:crosses val="autoZero"/>
        <c:crossBetween val="between"/>
      </c:valAx>
      <c:valAx>
        <c:axId val="1968835375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74111"/>
        <c:crosses val="max"/>
        <c:crossBetween val="between"/>
      </c:valAx>
      <c:catAx>
        <c:axId val="19307741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88353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1" i="0" u="none" strike="noStrike" kern="1200" baseline="0">
              <a:solidFill>
                <a:srgbClr val="1F4E78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20</xdr:row>
      <xdr:rowOff>28574</xdr:rowOff>
    </xdr:from>
    <xdr:to>
      <xdr:col>11</xdr:col>
      <xdr:colOff>485774</xdr:colOff>
      <xdr:row>32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B211D3-419C-4015-9658-2E206EC2C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20</xdr:row>
      <xdr:rowOff>9526</xdr:rowOff>
    </xdr:from>
    <xdr:to>
      <xdr:col>3</xdr:col>
      <xdr:colOff>800100</xdr:colOff>
      <xdr:row>32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EB633A-DCCD-44EE-911B-E07BDE2EC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5"/>
  <sheetViews>
    <sheetView showGridLines="0" tabSelected="1" workbookViewId="0">
      <selection activeCell="C4" sqref="C4"/>
    </sheetView>
  </sheetViews>
  <sheetFormatPr defaultRowHeight="15" x14ac:dyDescent="0.25"/>
  <cols>
    <col min="1" max="1" width="2.7109375" customWidth="1"/>
    <col min="2" max="2" width="45.140625" bestFit="1" customWidth="1"/>
    <col min="3" max="3" width="16.42578125" bestFit="1" customWidth="1"/>
  </cols>
  <sheetData>
    <row r="2" spans="2:4" ht="27" customHeight="1" x14ac:dyDescent="0.35">
      <c r="B2" s="2" t="s">
        <v>69</v>
      </c>
    </row>
    <row r="4" spans="2:4" x14ac:dyDescent="0.25">
      <c r="B4" s="1" t="s">
        <v>70</v>
      </c>
      <c r="C4" s="4" t="s">
        <v>196</v>
      </c>
      <c r="D4" t="str">
        <f>IF(OR(C4="Base",C4="Best",C4="Worst"),"✓ Valid","⚠ INVALID SCENARIO")</f>
        <v>✓ Valid</v>
      </c>
    </row>
    <row r="5" spans="2:4" x14ac:dyDescent="0.25">
      <c r="B5" s="3" t="s">
        <v>72</v>
      </c>
      <c r="C5" s="5" t="s">
        <v>73</v>
      </c>
    </row>
  </sheetData>
  <dataValidations count="1">
    <dataValidation type="list" allowBlank="1" showInputMessage="1" showErrorMessage="1" sqref="C4" xr:uid="{00000000-0002-0000-0000-000000000000}">
      <formula1>"Base,Best,Worst"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showGridLines="0" zoomScaleNormal="100" workbookViewId="0">
      <pane ySplit="5" topLeftCell="A6" activePane="bottomLeft" state="frozen"/>
      <selection pane="bottomLeft" activeCell="P33" sqref="P33"/>
    </sheetView>
  </sheetViews>
  <sheetFormatPr defaultRowHeight="15" x14ac:dyDescent="0.25"/>
  <cols>
    <col min="1" max="1" width="39.7109375" style="7" customWidth="1"/>
    <col min="2" max="2" width="12.85546875" style="8" customWidth="1"/>
    <col min="3" max="6" width="12.7109375" style="8" bestFit="1" customWidth="1"/>
  </cols>
  <sheetData>
    <row r="1" spans="1:6" ht="30" customHeight="1" x14ac:dyDescent="0.25">
      <c r="A1" s="9" t="s">
        <v>65</v>
      </c>
    </row>
    <row r="3" spans="1:6" x14ac:dyDescent="0.25">
      <c r="A3" s="6" t="s">
        <v>66</v>
      </c>
    </row>
    <row r="5" spans="1:6" x14ac:dyDescent="0.25">
      <c r="A5" s="13" t="s">
        <v>67</v>
      </c>
      <c r="B5" s="12">
        <v>2021</v>
      </c>
      <c r="C5" s="12">
        <v>2022</v>
      </c>
      <c r="D5" s="14">
        <v>2023</v>
      </c>
      <c r="E5" s="15">
        <v>2024</v>
      </c>
      <c r="F5" s="12">
        <v>2025</v>
      </c>
    </row>
    <row r="6" spans="1:6" x14ac:dyDescent="0.25">
      <c r="A6" s="188" t="s">
        <v>1</v>
      </c>
      <c r="B6" s="189" t="str">
        <f>IF(INDEX('10_Data_Sources'!$B$159:$F$171,MATCH($A6,'10_Data_Sources'!$A$159:$A$171,0),MATCH(B$5,'10_Data_Sources'!$B$158:$F$158,0))="","–",INDEX('10_Data_Sources'!$B$159:$F$171,MATCH($A6,'10_Data_Sources'!$A$159:$A$171,0),MATCH(B$5,'10_Data_Sources'!$B$158:$F$158,0)))</f>
        <v>–</v>
      </c>
      <c r="C6" s="190">
        <f>IF(INDEX('10_Data_Sources'!$B$159:$F$171,MATCH($A6,'10_Data_Sources'!$A$159:$A$171,0),MATCH(C$5,'10_Data_Sources'!$B$158:$F$158,0))="","–",INDEX('10_Data_Sources'!$B$159:$F$171,MATCH($A6,'10_Data_Sources'!$A$159:$A$171,0),MATCH(C$5,'10_Data_Sources'!$B$158:$F$158,0)))</f>
        <v>0.10598042152522753</v>
      </c>
      <c r="D6" s="191">
        <f>IF(INDEX('10_Data_Sources'!$B$159:$F$171,MATCH($A6,'10_Data_Sources'!$A$159:$A$171,0),MATCH(D$5,'10_Data_Sources'!$B$158:$F$158,0))="","–",INDEX('10_Data_Sources'!$B$159:$F$171,MATCH($A6,'10_Data_Sources'!$A$159:$A$171,0),MATCH(D$5,'10_Data_Sources'!$B$158:$F$158,0)))</f>
        <v>0.11979863303194051</v>
      </c>
      <c r="E6" s="192">
        <f>IF(INDEX('10_Data_Sources'!$B$159:$F$171,MATCH($A6,'10_Data_Sources'!$A$159:$A$171,0),MATCH(E$5,'10_Data_Sources'!$B$158:$F$158,0))="","–",INDEX('10_Data_Sources'!$B$159:$F$171,MATCH($A6,'10_Data_Sources'!$A$159:$A$171,0),MATCH(E$5,'10_Data_Sources'!$B$158:$F$158,0)))</f>
        <v>0.15162034444917247</v>
      </c>
      <c r="F6" s="190">
        <f>IF(INDEX('10_Data_Sources'!$B$159:$F$171,MATCH($A6,'10_Data_Sources'!$A$159:$A$171,0),MATCH(F$5,'10_Data_Sources'!$B$158:$F$158,0))="","–",INDEX('10_Data_Sources'!$B$159:$F$171,MATCH($A6,'10_Data_Sources'!$A$159:$A$171,0),MATCH(F$5,'10_Data_Sources'!$B$158:$F$158,0)))</f>
        <v>0.130413644230956</v>
      </c>
    </row>
    <row r="7" spans="1:6" x14ac:dyDescent="0.25">
      <c r="A7" s="193" t="s">
        <v>2</v>
      </c>
      <c r="B7" s="194">
        <f>IF(INDEX('10_Data_Sources'!$B$159:$F$171,MATCH($A7,'10_Data_Sources'!$A$159:$A$171,0),MATCH(B$5,'10_Data_Sources'!$B$158:$F$158,0))="","–",INDEX('10_Data_Sources'!$B$159:$F$171,MATCH($A7,'10_Data_Sources'!$A$159:$A$171,0),MATCH(B$5,'10_Data_Sources'!$B$158:$F$158,0)))</f>
        <v>0.58755579717380613</v>
      </c>
      <c r="C7" s="195">
        <f>IF(INDEX('10_Data_Sources'!$B$159:$F$171,MATCH($A7,'10_Data_Sources'!$A$159:$A$171,0),MATCH(C$5,'10_Data_Sources'!$B$158:$F$158,0))="","–",INDEX('10_Data_Sources'!$B$159:$F$171,MATCH($A7,'10_Data_Sources'!$A$159:$A$171,0),MATCH(C$5,'10_Data_Sources'!$B$158:$F$158,0)))</f>
        <v>0.57023099352629603</v>
      </c>
      <c r="D7" s="196">
        <f>IF(INDEX('10_Data_Sources'!$B$159:$F$171,MATCH($A7,'10_Data_Sources'!$A$159:$A$171,0),MATCH(D$5,'10_Data_Sources'!$B$158:$F$158,0))="","–",INDEX('10_Data_Sources'!$B$159:$F$171,MATCH($A7,'10_Data_Sources'!$A$159:$A$171,0),MATCH(D$5,'10_Data_Sources'!$B$158:$F$158,0)))</f>
        <v>0.54530171030137431</v>
      </c>
      <c r="E7" s="195">
        <f>IF(INDEX('10_Data_Sources'!$B$159:$F$171,MATCH($A7,'10_Data_Sources'!$A$159:$A$171,0),MATCH(E$5,'10_Data_Sources'!$B$158:$F$158,0))="","–",INDEX('10_Data_Sources'!$B$159:$F$171,MATCH($A7,'10_Data_Sources'!$A$159:$A$171,0),MATCH(E$5,'10_Data_Sources'!$B$158:$F$158,0)))</f>
        <v>0.55338480387390365</v>
      </c>
      <c r="F7" s="197">
        <f>IF(INDEX('10_Data_Sources'!$B$159:$F$171,MATCH($A7,'10_Data_Sources'!$A$159:$A$171,0),MATCH(F$5,'10_Data_Sources'!$B$158:$F$158,0))="","–",INDEX('10_Data_Sources'!$B$159:$F$171,MATCH($A7,'10_Data_Sources'!$A$159:$A$171,0),MATCH(F$5,'10_Data_Sources'!$B$158:$F$158,0)))</f>
        <v>0.539713615588854</v>
      </c>
    </row>
    <row r="8" spans="1:6" x14ac:dyDescent="0.25">
      <c r="A8" s="188" t="s">
        <v>3</v>
      </c>
      <c r="B8" s="190">
        <f>IF(INDEX('10_Data_Sources'!$B$159:$F$171,MATCH($A8,'10_Data_Sources'!$A$159:$A$171,0),MATCH(B$5,'10_Data_Sources'!$B$158:$F$158,0))="","–",INDEX('10_Data_Sources'!$B$159:$F$171,MATCH($A8,'10_Data_Sources'!$A$159:$A$171,0),MATCH(B$5,'10_Data_Sources'!$B$158:$F$158,0)))</f>
        <v>0.41244420282619387</v>
      </c>
      <c r="C8" s="190">
        <f>IF(INDEX('10_Data_Sources'!$B$159:$F$171,MATCH($A8,'10_Data_Sources'!$A$159:$A$171,0),MATCH(C$5,'10_Data_Sources'!$B$158:$F$158,0))="","–",INDEX('10_Data_Sources'!$B$159:$F$171,MATCH($A8,'10_Data_Sources'!$A$159:$A$171,0),MATCH(C$5,'10_Data_Sources'!$B$158:$F$158,0)))</f>
        <v>0.42976900647370392</v>
      </c>
      <c r="D8" s="191">
        <f>IF(INDEX('10_Data_Sources'!$B$159:$F$171,MATCH($A8,'10_Data_Sources'!$A$159:$A$171,0),MATCH(D$5,'10_Data_Sources'!$B$158:$F$158,0))="","–",INDEX('10_Data_Sources'!$B$159:$F$171,MATCH($A8,'10_Data_Sources'!$A$159:$A$171,0),MATCH(D$5,'10_Data_Sources'!$B$158:$F$158,0)))</f>
        <v>0.45469828969862564</v>
      </c>
      <c r="E8" s="192">
        <f>IF(INDEX('10_Data_Sources'!$B$159:$F$171,MATCH($A8,'10_Data_Sources'!$A$159:$A$171,0),MATCH(E$5,'10_Data_Sources'!$B$158:$F$158,0))="","–",INDEX('10_Data_Sources'!$B$159:$F$171,MATCH($A8,'10_Data_Sources'!$A$159:$A$171,0),MATCH(E$5,'10_Data_Sources'!$B$158:$F$158,0)))</f>
        <v>0.44661519612609635</v>
      </c>
      <c r="F8" s="190">
        <f>IF(INDEX('10_Data_Sources'!$B$159:$F$171,MATCH($A8,'10_Data_Sources'!$A$159:$A$171,0),MATCH(F$5,'10_Data_Sources'!$B$158:$F$158,0))="","–",INDEX('10_Data_Sources'!$B$159:$F$171,MATCH($A8,'10_Data_Sources'!$A$159:$A$171,0),MATCH(F$5,'10_Data_Sources'!$B$158:$F$158,0)))</f>
        <v>0.460286384411145</v>
      </c>
    </row>
    <row r="9" spans="1:6" x14ac:dyDescent="0.25">
      <c r="A9" s="193" t="s">
        <v>4</v>
      </c>
      <c r="B9" s="194">
        <f>IF(INDEX('10_Data_Sources'!$B$159:$F$171,MATCH($A9,'10_Data_Sources'!$A$159:$A$171,0),MATCH(B$5,'10_Data_Sources'!$B$158:$F$158,0))="","–",INDEX('10_Data_Sources'!$B$159:$F$171,MATCH($A9,'10_Data_Sources'!$A$159:$A$171,0),MATCH(B$5,'10_Data_Sources'!$B$158:$F$158,0)))</f>
        <v>0.85320211983032479</v>
      </c>
      <c r="C9" s="194">
        <f>IF(INDEX('10_Data_Sources'!$B$159:$F$171,MATCH($A9,'10_Data_Sources'!$A$159:$A$171,0),MATCH(C$5,'10_Data_Sources'!$B$158:$F$158,0))="","–",INDEX('10_Data_Sources'!$B$159:$F$171,MATCH($A9,'10_Data_Sources'!$A$159:$A$171,0),MATCH(C$5,'10_Data_Sources'!$B$158:$F$158,0)))</f>
        <v>0.75615436573752071</v>
      </c>
      <c r="D9" s="198">
        <f>IF(INDEX('10_Data_Sources'!$B$159:$F$171,MATCH($A9,'10_Data_Sources'!$A$159:$A$171,0),MATCH(D$5,'10_Data_Sources'!$B$158:$F$158,0))="","–",INDEX('10_Data_Sources'!$B$159:$F$171,MATCH($A9,'10_Data_Sources'!$A$159:$A$171,0),MATCH(D$5,'10_Data_Sources'!$B$158:$F$158,0)))</f>
        <v>0.65279612998589054</v>
      </c>
      <c r="E9" s="199">
        <f>IF(INDEX('10_Data_Sources'!$B$159:$F$171,MATCH($A9,'10_Data_Sources'!$A$159:$A$171,0),MATCH(E$5,'10_Data_Sources'!$B$158:$F$158,0))="","–",INDEX('10_Data_Sources'!$B$159:$F$171,MATCH($A9,'10_Data_Sources'!$A$159:$A$171,0),MATCH(E$5,'10_Data_Sources'!$B$158:$F$158,0)))</f>
        <v>0.59242462547726937</v>
      </c>
      <c r="F9" s="194">
        <f>IF(INDEX('10_Data_Sources'!$B$159:$F$171,MATCH($A9,'10_Data_Sources'!$A$159:$A$171,0),MATCH(F$5,'10_Data_Sources'!$B$158:$F$158,0))="","–",INDEX('10_Data_Sources'!$B$159:$F$171,MATCH($A9,'10_Data_Sources'!$A$159:$A$171,0),MATCH(F$5,'10_Data_Sources'!$B$158:$F$158,0)))</f>
        <v>0.545833548379697</v>
      </c>
    </row>
    <row r="10" spans="1:6" x14ac:dyDescent="0.25">
      <c r="A10" s="188" t="s">
        <v>5</v>
      </c>
      <c r="B10" s="190">
        <f>IF(INDEX('10_Data_Sources'!$B$159:$F$171,MATCH($A10,'10_Data_Sources'!$A$159:$A$171,0),MATCH(B$5,'10_Data_Sources'!$B$158:$F$158,0))="","–",INDEX('10_Data_Sources'!$B$159:$F$171,MATCH($A10,'10_Data_Sources'!$A$159:$A$171,0),MATCH(B$5,'10_Data_Sources'!$B$158:$F$158,0)))</f>
        <v>-0.26564632265651872</v>
      </c>
      <c r="C10" s="190">
        <f>IF(INDEX('10_Data_Sources'!$B$159:$F$171,MATCH($A10,'10_Data_Sources'!$A$159:$A$171,0),MATCH(C$5,'10_Data_Sources'!$B$158:$F$158,0))="","–",INDEX('10_Data_Sources'!$B$159:$F$171,MATCH($A10,'10_Data_Sources'!$A$159:$A$171,0),MATCH(C$5,'10_Data_Sources'!$B$158:$F$158,0)))</f>
        <v>-0.18592337221122465</v>
      </c>
      <c r="D10" s="191">
        <f>IF(INDEX('10_Data_Sources'!$B$159:$F$171,MATCH($A10,'10_Data_Sources'!$A$159:$A$171,0),MATCH(D$5,'10_Data_Sources'!$B$158:$F$158,0))="","–",INDEX('10_Data_Sources'!$B$159:$F$171,MATCH($A10,'10_Data_Sources'!$A$159:$A$171,0),MATCH(D$5,'10_Data_Sources'!$B$158:$F$158,0)))</f>
        <v>-0.10749441968451622</v>
      </c>
      <c r="E10" s="192">
        <f>IF(INDEX('10_Data_Sources'!$B$159:$F$171,MATCH($A10,'10_Data_Sources'!$A$159:$A$171,0),MATCH(E$5,'10_Data_Sources'!$B$158:$F$158,0))="","–",INDEX('10_Data_Sources'!$B$159:$F$171,MATCH($A10,'10_Data_Sources'!$A$159:$A$171,0),MATCH(E$5,'10_Data_Sources'!$B$158:$F$158,0)))</f>
        <v>-3.9039821603365679E-2</v>
      </c>
      <c r="F10" s="190">
        <f>IF(INDEX('10_Data_Sources'!$B$159:$F$171,MATCH($A10,'10_Data_Sources'!$A$159:$A$171,0),MATCH(F$5,'10_Data_Sources'!$B$158:$F$158,0))="","–",INDEX('10_Data_Sources'!$B$159:$F$171,MATCH($A10,'10_Data_Sources'!$A$159:$A$171,0),MATCH(F$5,'10_Data_Sources'!$B$158:$F$158,0)))</f>
        <v>-6.1199327908430298E-3</v>
      </c>
    </row>
    <row r="11" spans="1:6" x14ac:dyDescent="0.25">
      <c r="A11" s="193" t="s">
        <v>6</v>
      </c>
      <c r="B11" s="194">
        <f>IF(INDEX('10_Data_Sources'!$B$159:$F$171,MATCH($A11,'10_Data_Sources'!$A$159:$A$171,0),MATCH(B$5,'10_Data_Sources'!$B$158:$F$158,0))="","–",INDEX('10_Data_Sources'!$B$159:$F$171,MATCH($A11,'10_Data_Sources'!$A$159:$A$171,0),MATCH(B$5,'10_Data_Sources'!$B$158:$F$158,0)))</f>
        <v>-0.26677428540786025</v>
      </c>
      <c r="C11" s="194">
        <f>IF(INDEX('10_Data_Sources'!$B$159:$F$171,MATCH($A11,'10_Data_Sources'!$A$159:$A$171,0),MATCH(C$5,'10_Data_Sources'!$B$158:$F$158,0))="","–",INDEX('10_Data_Sources'!$B$159:$F$171,MATCH($A11,'10_Data_Sources'!$A$159:$A$171,0),MATCH(C$5,'10_Data_Sources'!$B$158:$F$158,0)))</f>
        <v>-0.18456911080199026</v>
      </c>
      <c r="D11" s="198">
        <f>IF(INDEX('10_Data_Sources'!$B$159:$F$171,MATCH($A11,'10_Data_Sources'!$A$159:$A$171,0),MATCH(D$5,'10_Data_Sources'!$B$158:$F$158,0))="","–",INDEX('10_Data_Sources'!$B$159:$F$171,MATCH($A11,'10_Data_Sources'!$A$159:$A$171,0),MATCH(D$5,'10_Data_Sources'!$B$158:$F$158,0)))</f>
        <v>-9.4356975954252617E-2</v>
      </c>
      <c r="E11" s="199">
        <f>IF(INDEX('10_Data_Sources'!$B$159:$F$171,MATCH($A11,'10_Data_Sources'!$A$159:$A$171,0),MATCH(E$5,'10_Data_Sources'!$B$158:$F$158,0))="","–",INDEX('10_Data_Sources'!$B$159:$F$171,MATCH($A11,'10_Data_Sources'!$A$159:$A$171,0),MATCH(E$5,'10_Data_Sources'!$B$158:$F$158,0)))</f>
        <v>-2.643537335589221E-2</v>
      </c>
      <c r="F11" s="194">
        <f>IF(INDEX('10_Data_Sources'!$B$159:$F$171,MATCH($A11,'10_Data_Sources'!$A$159:$A$171,0),MATCH(F$5,'10_Data_Sources'!$B$158:$F$158,0))="","–",INDEX('10_Data_Sources'!$B$159:$F$171,MATCH($A11,'10_Data_Sources'!$A$159:$A$171,0),MATCH(F$5,'10_Data_Sources'!$B$158:$F$158,0)))</f>
        <v>1.88208577769367E-3</v>
      </c>
    </row>
    <row r="12" spans="1:6" x14ac:dyDescent="0.25">
      <c r="A12" s="188" t="s">
        <v>7</v>
      </c>
      <c r="B12" s="189" t="str">
        <f>IF(INDEX('10_Data_Sources'!$B$159:$F$171,MATCH($A12,'10_Data_Sources'!$A$159:$A$171,0),MATCH(B$5,'10_Data_Sources'!$B$158:$F$158,0))="","–",INDEX('10_Data_Sources'!$B$159:$F$171,MATCH($A12,'10_Data_Sources'!$A$159:$A$171,0),MATCH(B$5,'10_Data_Sources'!$B$158:$F$158,0)))</f>
        <v>–</v>
      </c>
      <c r="C12" s="189" t="str">
        <f>IF(INDEX('10_Data_Sources'!$B$159:$F$171,MATCH($A12,'10_Data_Sources'!$A$159:$A$171,0),MATCH(C$5,'10_Data_Sources'!$B$158:$F$158,0))="","–",INDEX('10_Data_Sources'!$B$159:$F$171,MATCH($A12,'10_Data_Sources'!$A$159:$A$171,0),MATCH(C$5,'10_Data_Sources'!$B$158:$F$158,0)))</f>
        <v>–</v>
      </c>
      <c r="D12" s="200" t="str">
        <f>IF(INDEX('10_Data_Sources'!$B$159:$F$171,MATCH($A12,'10_Data_Sources'!$A$159:$A$171,0),MATCH(D$5,'10_Data_Sources'!$B$158:$F$158,0))="","–",INDEX('10_Data_Sources'!$B$159:$F$171,MATCH($A12,'10_Data_Sources'!$A$159:$A$171,0),MATCH(D$5,'10_Data_Sources'!$B$158:$F$158,0)))</f>
        <v>–</v>
      </c>
      <c r="E12" s="201" t="str">
        <f>IF(INDEX('10_Data_Sources'!$B$159:$F$171,MATCH($A12,'10_Data_Sources'!$A$159:$A$171,0),MATCH(E$5,'10_Data_Sources'!$B$158:$F$158,0))="","–",INDEX('10_Data_Sources'!$B$159:$F$171,MATCH($A12,'10_Data_Sources'!$A$159:$A$171,0),MATCH(E$5,'10_Data_Sources'!$B$158:$F$158,0)))</f>
        <v>–</v>
      </c>
      <c r="F12" s="190">
        <f>IF(INDEX('10_Data_Sources'!$B$159:$F$171,MATCH($A12,'10_Data_Sources'!$A$159:$A$171,0),MATCH(F$5,'10_Data_Sources'!$B$158:$F$158,0))="","–",INDEX('10_Data_Sources'!$B$159:$F$171,MATCH($A12,'10_Data_Sources'!$A$159:$A$171,0),MATCH(F$5,'10_Data_Sources'!$B$158:$F$158,0)))</f>
        <v>0.460729543213933</v>
      </c>
    </row>
    <row r="13" spans="1:6" x14ac:dyDescent="0.25">
      <c r="A13" s="193" t="s">
        <v>8</v>
      </c>
      <c r="B13" s="202">
        <f>IF(INDEX('10_Data_Sources'!$B$159:$F$171,MATCH($A13,'10_Data_Sources'!$A$159:$A$171,0),MATCH(B$5,'10_Data_Sources'!$B$158:$F$158,0))="","–",INDEX('10_Data_Sources'!$B$159:$F$171,MATCH($A13,'10_Data_Sources'!$A$159:$A$171,0),MATCH(B$5,'10_Data_Sources'!$B$158:$F$158,0)))</f>
        <v>0.66952910328810389</v>
      </c>
      <c r="C13" s="202">
        <f>IF(INDEX('10_Data_Sources'!$B$159:$F$171,MATCH($A13,'10_Data_Sources'!$A$159:$A$171,0),MATCH(C$5,'10_Data_Sources'!$B$158:$F$158,0))="","–",INDEX('10_Data_Sources'!$B$159:$F$171,MATCH($A13,'10_Data_Sources'!$A$159:$A$171,0),MATCH(C$5,'10_Data_Sources'!$B$158:$F$158,0)))</f>
        <v>0.87571391311326297</v>
      </c>
      <c r="D13" s="203">
        <f>IF(INDEX('10_Data_Sources'!$B$159:$F$171,MATCH($A13,'10_Data_Sources'!$A$159:$A$171,0),MATCH(D$5,'10_Data_Sources'!$B$158:$F$158,0))="","–",INDEX('10_Data_Sources'!$B$159:$F$171,MATCH($A13,'10_Data_Sources'!$A$159:$A$171,0),MATCH(D$5,'10_Data_Sources'!$B$158:$F$158,0)))</f>
        <v>0.9694967637902846</v>
      </c>
      <c r="E13" s="204">
        <f>IF(INDEX('10_Data_Sources'!$B$159:$F$171,MATCH($A13,'10_Data_Sources'!$A$159:$A$171,0),MATCH(E$5,'10_Data_Sources'!$B$158:$F$158,0))="","–",INDEX('10_Data_Sources'!$B$159:$F$171,MATCH($A13,'10_Data_Sources'!$A$159:$A$171,0),MATCH(E$5,'10_Data_Sources'!$B$158:$F$158,0)))</f>
        <v>0.92182830620433931</v>
      </c>
      <c r="F13" s="202">
        <f>IF(INDEX('10_Data_Sources'!$B$159:$F$171,MATCH($A13,'10_Data_Sources'!$A$159:$A$171,0),MATCH(F$5,'10_Data_Sources'!$B$158:$F$158,0))="","–",INDEX('10_Data_Sources'!$B$159:$F$171,MATCH($A13,'10_Data_Sources'!$A$159:$A$171,0),MATCH(F$5,'10_Data_Sources'!$B$158:$F$158,0)))</f>
        <v>1.3751784884821101</v>
      </c>
    </row>
    <row r="14" spans="1:6" x14ac:dyDescent="0.25">
      <c r="A14" s="188" t="s">
        <v>9</v>
      </c>
      <c r="B14" s="205">
        <f>IF(INDEX('10_Data_Sources'!$B$159:$F$171,MATCH($A14,'10_Data_Sources'!$A$159:$A$171,0),MATCH(B$5,'10_Data_Sources'!$B$158:$F$158,0))="","–",INDEX('10_Data_Sources'!$B$159:$F$171,MATCH($A14,'10_Data_Sources'!$A$159:$A$171,0),MATCH(B$5,'10_Data_Sources'!$B$158:$F$158,0)))</f>
        <v>93.430927733367994</v>
      </c>
      <c r="C14" s="205">
        <f>IF(INDEX('10_Data_Sources'!$B$159:$F$171,MATCH($A14,'10_Data_Sources'!$A$159:$A$171,0),MATCH(C$5,'10_Data_Sources'!$B$158:$F$158,0))="","–",INDEX('10_Data_Sources'!$B$159:$F$171,MATCH($A14,'10_Data_Sources'!$A$159:$A$171,0),MATCH(C$5,'10_Data_Sources'!$B$158:$F$158,0)))</f>
        <v>97.76121377163976</v>
      </c>
      <c r="D14" s="206">
        <f>IF(INDEX('10_Data_Sources'!$B$159:$F$171,MATCH($A14,'10_Data_Sources'!$A$159:$A$171,0),MATCH(D$5,'10_Data_Sources'!$B$158:$F$158,0))="","–",INDEX('10_Data_Sources'!$B$159:$F$171,MATCH($A14,'10_Data_Sources'!$A$159:$A$171,0),MATCH(D$5,'10_Data_Sources'!$B$158:$F$158,0)))</f>
        <v>74.589004436184297</v>
      </c>
      <c r="E14" s="207">
        <f>IF(INDEX('10_Data_Sources'!$B$159:$F$171,MATCH($A14,'10_Data_Sources'!$A$159:$A$171,0),MATCH(E$5,'10_Data_Sources'!$B$158:$F$158,0))="","–",INDEX('10_Data_Sources'!$B$159:$F$171,MATCH($A14,'10_Data_Sources'!$A$159:$A$171,0),MATCH(E$5,'10_Data_Sources'!$B$158:$F$158,0)))</f>
        <v>55.462928289223498</v>
      </c>
      <c r="F14" s="205">
        <f>IF(INDEX('10_Data_Sources'!$B$159:$F$171,MATCH($A14,'10_Data_Sources'!$A$159:$A$171,0),MATCH(F$5,'10_Data_Sources'!$B$158:$F$158,0))="","–",INDEX('10_Data_Sources'!$B$159:$F$171,MATCH($A14,'10_Data_Sources'!$A$159:$A$171,0),MATCH(F$5,'10_Data_Sources'!$B$158:$F$158,0)))</f>
        <v>40.482998858783098</v>
      </c>
    </row>
    <row r="15" spans="1:6" x14ac:dyDescent="0.25">
      <c r="A15" s="193" t="s">
        <v>10</v>
      </c>
      <c r="B15" s="202">
        <f>IF(INDEX('10_Data_Sources'!$B$159:$F$171,MATCH($A15,'10_Data_Sources'!$A$159:$A$171,0),MATCH(B$5,'10_Data_Sources'!$B$158:$F$158,0))="","–",INDEX('10_Data_Sources'!$B$159:$F$171,MATCH($A15,'10_Data_Sources'!$A$159:$A$171,0),MATCH(B$5,'10_Data_Sources'!$B$158:$F$158,0)))</f>
        <v>50.548758344578999</v>
      </c>
      <c r="C15" s="202">
        <f>IF(INDEX('10_Data_Sources'!$B$159:$F$171,MATCH($A15,'10_Data_Sources'!$A$159:$A$171,0),MATCH(C$5,'10_Data_Sources'!$B$158:$F$158,0))="","–",INDEX('10_Data_Sources'!$B$159:$F$171,MATCH($A15,'10_Data_Sources'!$A$159:$A$171,0),MATCH(C$5,'10_Data_Sources'!$B$158:$F$158,0)))</f>
        <v>29.522330285936587</v>
      </c>
      <c r="D15" s="203">
        <f>IF(INDEX('10_Data_Sources'!$B$159:$F$171,MATCH($A15,'10_Data_Sources'!$A$159:$A$171,0),MATCH(D$5,'10_Data_Sources'!$B$158:$F$158,0))="","–",INDEX('10_Data_Sources'!$B$159:$F$171,MATCH($A15,'10_Data_Sources'!$A$159:$A$171,0),MATCH(D$5,'10_Data_Sources'!$B$158:$F$158,0)))</f>
        <v>26.914077250682176</v>
      </c>
      <c r="E15" s="204">
        <f>IF(INDEX('10_Data_Sources'!$B$159:$F$171,MATCH($A15,'10_Data_Sources'!$A$159:$A$171,0),MATCH(E$5,'10_Data_Sources'!$B$158:$F$158,0))="","–",INDEX('10_Data_Sources'!$B$159:$F$171,MATCH($A15,'10_Data_Sources'!$A$159:$A$171,0),MATCH(E$5,'10_Data_Sources'!$B$158:$F$158,0)))</f>
        <v>24.919908500033383</v>
      </c>
      <c r="F15" s="202">
        <f>IF(INDEX('10_Data_Sources'!$B$159:$F$171,MATCH($A15,'10_Data_Sources'!$A$159:$A$171,0),MATCH(F$5,'10_Data_Sources'!$B$158:$F$158,0))="","–",INDEX('10_Data_Sources'!$B$159:$F$171,MATCH($A15,'10_Data_Sources'!$A$159:$A$171,0),MATCH(F$5,'10_Data_Sources'!$B$158:$F$158,0)))</f>
        <v>29.0844226389518</v>
      </c>
    </row>
    <row r="16" spans="1:6" x14ac:dyDescent="0.25">
      <c r="A16" s="188" t="s">
        <v>11</v>
      </c>
      <c r="B16" s="190">
        <f>IF(INDEX('10_Data_Sources'!$B$159:$F$171,MATCH($A16,'10_Data_Sources'!$A$159:$A$171,0),MATCH(B$5,'10_Data_Sources'!$B$158:$F$158,0))="","–",INDEX('10_Data_Sources'!$B$159:$F$171,MATCH($A16,'10_Data_Sources'!$A$159:$A$171,0),MATCH(B$5,'10_Data_Sources'!$B$158:$F$158,0)))</f>
        <v>8.9706322878413014E-2</v>
      </c>
      <c r="C16" s="190">
        <f>IF(INDEX('10_Data_Sources'!$B$159:$F$171,MATCH($A16,'10_Data_Sources'!$A$159:$A$171,0),MATCH(C$5,'10_Data_Sources'!$B$158:$F$158,0))="","–",INDEX('10_Data_Sources'!$B$159:$F$171,MATCH($A16,'10_Data_Sources'!$A$159:$A$171,0),MATCH(C$5,'10_Data_Sources'!$B$158:$F$158,0)))</f>
        <v>0.1006182788507838</v>
      </c>
      <c r="D16" s="191">
        <f>IF(INDEX('10_Data_Sources'!$B$159:$F$171,MATCH($A16,'10_Data_Sources'!$A$159:$A$171,0),MATCH(D$5,'10_Data_Sources'!$B$158:$F$158,0))="","–",INDEX('10_Data_Sources'!$B$159:$F$171,MATCH($A16,'10_Data_Sources'!$A$159:$A$171,0),MATCH(D$5,'10_Data_Sources'!$B$158:$F$158,0)))</f>
        <v>8.0134076877710833E-2</v>
      </c>
      <c r="E16" s="192">
        <f>IF(INDEX('10_Data_Sources'!$B$159:$F$171,MATCH($A16,'10_Data_Sources'!$A$159:$A$171,0),MATCH(E$5,'10_Data_Sources'!$B$158:$F$158,0))="","–",INDEX('10_Data_Sources'!$B$159:$F$171,MATCH($A16,'10_Data_Sources'!$A$159:$A$171,0),MATCH(E$5,'10_Data_Sources'!$B$158:$F$158,0)))</f>
        <v>8.301666634254487E-2</v>
      </c>
      <c r="F16" s="190">
        <f>IF(INDEX('10_Data_Sources'!$B$159:$F$171,MATCH($A16,'10_Data_Sources'!$A$159:$A$171,0),MATCH(F$5,'10_Data_Sources'!$B$158:$F$158,0))="","–",INDEX('10_Data_Sources'!$B$159:$F$171,MATCH($A16,'10_Data_Sources'!$A$159:$A$171,0),MATCH(F$5,'10_Data_Sources'!$B$158:$F$158,0)))</f>
        <v>7.6898285937114702E-2</v>
      </c>
    </row>
    <row r="17" spans="1:6" x14ac:dyDescent="0.25">
      <c r="A17" s="188" t="s">
        <v>12</v>
      </c>
      <c r="B17" s="190">
        <f>IF(INDEX('10_Data_Sources'!$B$159:$F$171,MATCH($A17,'10_Data_Sources'!$A$159:$A$171,0),MATCH(B$5,'10_Data_Sources'!$B$158:$F$158,0))="","–",INDEX('10_Data_Sources'!$B$159:$F$171,MATCH($A17,'10_Data_Sources'!$A$159:$A$171,0),MATCH(B$5,'10_Data_Sources'!$B$158:$F$158,0)))</f>
        <v>4.043654007596182E-2</v>
      </c>
      <c r="C17" s="190">
        <f>IF(INDEX('10_Data_Sources'!$B$159:$F$171,MATCH($A17,'10_Data_Sources'!$A$159:$A$171,0),MATCH(C$5,'10_Data_Sources'!$B$158:$F$158,0))="","–",INDEX('10_Data_Sources'!$B$159:$F$171,MATCH($A17,'10_Data_Sources'!$A$159:$A$171,0),MATCH(C$5,'10_Data_Sources'!$B$158:$F$158,0)))</f>
        <v>5.3274303140548929E-2</v>
      </c>
      <c r="D17" s="191">
        <f>IF(INDEX('10_Data_Sources'!$B$159:$F$171,MATCH($A17,'10_Data_Sources'!$A$159:$A$171,0),MATCH(D$5,'10_Data_Sources'!$B$158:$F$158,0))="","–",INDEX('10_Data_Sources'!$B$159:$F$171,MATCH($A17,'10_Data_Sources'!$A$159:$A$171,0),MATCH(D$5,'10_Data_Sources'!$B$158:$F$158,0)))</f>
        <v>5.7563473755720289E-2</v>
      </c>
      <c r="E17" s="192">
        <f>IF(INDEX('10_Data_Sources'!$B$159:$F$171,MATCH($A17,'10_Data_Sources'!$A$159:$A$171,0),MATCH(E$5,'10_Data_Sources'!$B$158:$F$158,0))="","–",INDEX('10_Data_Sources'!$B$159:$F$171,MATCH($A17,'10_Data_Sources'!$A$159:$A$171,0),MATCH(E$5,'10_Data_Sources'!$B$158:$F$158,0)))</f>
        <v>5.9463383961157246E-2</v>
      </c>
      <c r="F17" s="190">
        <f>IF(INDEX('10_Data_Sources'!$B$159:$F$171,MATCH($A17,'10_Data_Sources'!$A$159:$A$171,0),MATCH(F$5,'10_Data_Sources'!$B$158:$F$158,0))="","–",INDEX('10_Data_Sources'!$B$159:$F$171,MATCH($A17,'10_Data_Sources'!$A$159:$A$171,0),MATCH(F$5,'10_Data_Sources'!$B$158:$F$158,0)))</f>
        <v>5.7666832969188099E-2</v>
      </c>
    </row>
    <row r="18" spans="1:6" x14ac:dyDescent="0.25">
      <c r="A18" s="208" t="s">
        <v>13</v>
      </c>
      <c r="B18" s="209">
        <f>IF(INDEX('10_Data_Sources'!$B$159:$F$171,MATCH($A18,'10_Data_Sources'!$A$159:$A$171,0),MATCH(B$5,'10_Data_Sources'!$B$158:$F$158,0))="","–",INDEX('10_Data_Sources'!$B$159:$F$171,MATCH($A18,'10_Data_Sources'!$A$159:$A$171,0),MATCH(B$5,'10_Data_Sources'!$B$158:$F$158,0)))</f>
        <v>0.19812943095203756</v>
      </c>
      <c r="C18" s="209">
        <f>IF(INDEX('10_Data_Sources'!$B$159:$F$171,MATCH($A18,'10_Data_Sources'!$A$159:$A$171,0),MATCH(C$5,'10_Data_Sources'!$B$158:$F$158,0))="","–",INDEX('10_Data_Sources'!$B$159:$F$171,MATCH($A18,'10_Data_Sources'!$A$159:$A$171,0),MATCH(C$5,'10_Data_Sources'!$B$158:$F$158,0)))</f>
        <v>0.16390241292600716</v>
      </c>
      <c r="D18" s="210">
        <f>IF(INDEX('10_Data_Sources'!$B$159:$F$171,MATCH($A18,'10_Data_Sources'!$A$159:$A$171,0),MATCH(D$5,'10_Data_Sources'!$B$158:$F$158,0))="","–",INDEX('10_Data_Sources'!$B$159:$F$171,MATCH($A18,'10_Data_Sources'!$A$159:$A$171,0),MATCH(D$5,'10_Data_Sources'!$B$158:$F$158,0)))</f>
        <v>0.10527423797899263</v>
      </c>
      <c r="E18" s="211">
        <f>IF(INDEX('10_Data_Sources'!$B$159:$F$171,MATCH($A18,'10_Data_Sources'!$A$159:$A$171,0),MATCH(E$5,'10_Data_Sources'!$B$158:$F$158,0))="","–",INDEX('10_Data_Sources'!$B$159:$F$171,MATCH($A18,'10_Data_Sources'!$A$159:$A$171,0),MATCH(E$5,'10_Data_Sources'!$B$158:$F$158,0)))</f>
        <v>6.1316064124255332E-2</v>
      </c>
      <c r="F18" s="209">
        <f>IF(INDEX('10_Data_Sources'!$B$159:$F$171,MATCH($A18,'10_Data_Sources'!$A$159:$A$171,0),MATCH(F$5,'10_Data_Sources'!$B$158:$F$158,0))="","–",INDEX('10_Data_Sources'!$B$159:$F$171,MATCH($A18,'10_Data_Sources'!$A$159:$A$171,0),MATCH(F$5,'10_Data_Sources'!$B$158:$F$158,0)))</f>
        <v>3.9609819877165497E-2</v>
      </c>
    </row>
    <row r="20" spans="1:6" x14ac:dyDescent="0.25">
      <c r="A20" s="6" t="s">
        <v>74</v>
      </c>
    </row>
    <row r="21" spans="1:6" x14ac:dyDescent="0.25">
      <c r="A21" s="87" t="s">
        <v>68</v>
      </c>
      <c r="B21" s="81" t="str">
        <f>'00_Control_Panel'!C4</f>
        <v>Best</v>
      </c>
    </row>
    <row r="23" spans="1:6" x14ac:dyDescent="0.25">
      <c r="A23" s="10" t="s">
        <v>67</v>
      </c>
      <c r="B23" s="11">
        <v>2026</v>
      </c>
      <c r="C23" s="11">
        <v>2027</v>
      </c>
      <c r="D23" s="11">
        <v>2028</v>
      </c>
      <c r="E23" s="11">
        <v>2029</v>
      </c>
      <c r="F23" s="11">
        <v>2030</v>
      </c>
    </row>
    <row r="24" spans="1:6" ht="18.75" customHeight="1" x14ac:dyDescent="0.25">
      <c r="A24" s="188" t="s">
        <v>1</v>
      </c>
      <c r="B24" s="192">
        <f>SUMIFS('10_Data_Sources'!$E$5:$E$154, '10_Data_Sources'!$A$5:$A$154, $A24, '10_Data_Sources'!$C$5:$C$154, '00_Control_Panel'!$C$4, '10_Data_Sources'!$D$5:$D$154, B$23)</f>
        <v>0.15</v>
      </c>
      <c r="C24" s="192">
        <f>SUMIFS('10_Data_Sources'!$E$5:$E$154, '10_Data_Sources'!$A$5:$A$154, $A24, '10_Data_Sources'!$C$5:$C$154, '00_Control_Panel'!$C$4, '10_Data_Sources'!$D$5:$D$154, C$23)</f>
        <v>0.14000000000000001</v>
      </c>
      <c r="D24" s="192">
        <f>SUMIFS('10_Data_Sources'!$E$5:$E$154, '10_Data_Sources'!$A$5:$A$154, $A24, '10_Data_Sources'!$C$5:$C$154, '00_Control_Panel'!$C$4, '10_Data_Sources'!$D$5:$D$154, D$23)</f>
        <v>0.13</v>
      </c>
      <c r="E24" s="192">
        <f>SUMIFS('10_Data_Sources'!$E$5:$E$154, '10_Data_Sources'!$A$5:$A$154, $A24, '10_Data_Sources'!$C$5:$C$154, '00_Control_Panel'!$C$4, '10_Data_Sources'!$D$5:$D$154, E$23)</f>
        <v>0.12</v>
      </c>
      <c r="F24" s="192">
        <f>SUMIFS('10_Data_Sources'!$E$5:$E$154, '10_Data_Sources'!$A$5:$A$154, $A24, '10_Data_Sources'!$C$5:$C$154, '00_Control_Panel'!$C$4, '10_Data_Sources'!$D$5:$D$154, F$23)</f>
        <v>0.11</v>
      </c>
    </row>
    <row r="25" spans="1:6" x14ac:dyDescent="0.25">
      <c r="A25" s="188" t="s">
        <v>2</v>
      </c>
      <c r="B25" s="192">
        <f>SUMIFS('10_Data_Sources'!$E$5:$E$154, '10_Data_Sources'!$A$5:$A$154, $A25, '10_Data_Sources'!$C$5:$C$154, '00_Control_Panel'!$C$4, '10_Data_Sources'!$D$5:$D$154, B$23)</f>
        <v>0.55000000000000004</v>
      </c>
      <c r="C25" s="192">
        <f>SUMIFS('10_Data_Sources'!$E$5:$E$154, '10_Data_Sources'!$A$5:$A$154, $A25, '10_Data_Sources'!$C$5:$C$154, '00_Control_Panel'!$C$4, '10_Data_Sources'!$D$5:$D$154, C$23)</f>
        <v>0.55500000000000005</v>
      </c>
      <c r="D25" s="192">
        <f>SUMIFS('10_Data_Sources'!$E$5:$E$154, '10_Data_Sources'!$A$5:$A$154, $A25, '10_Data_Sources'!$C$5:$C$154, '00_Control_Panel'!$C$4, '10_Data_Sources'!$D$5:$D$154, D$23)</f>
        <v>0.56000000000000005</v>
      </c>
      <c r="E25" s="192">
        <f>SUMIFS('10_Data_Sources'!$E$5:$E$154, '10_Data_Sources'!$A$5:$A$154, $A25, '10_Data_Sources'!$C$5:$C$154, '00_Control_Panel'!$C$4, '10_Data_Sources'!$D$5:$D$154, E$23)</f>
        <v>0.56499999999999995</v>
      </c>
      <c r="F25" s="192">
        <f>SUMIFS('10_Data_Sources'!$E$5:$E$154, '10_Data_Sources'!$A$5:$A$154, $A25, '10_Data_Sources'!$C$5:$C$154, '00_Control_Panel'!$C$4, '10_Data_Sources'!$D$5:$D$154, F$23)</f>
        <v>0.56999999999999995</v>
      </c>
    </row>
    <row r="26" spans="1:6" x14ac:dyDescent="0.25">
      <c r="A26" s="188" t="s">
        <v>4</v>
      </c>
      <c r="B26" s="192">
        <f>SUMIFS('10_Data_Sources'!$E$5:$E$154, '10_Data_Sources'!$A$5:$A$154, $A26, '10_Data_Sources'!$C$5:$C$154, '00_Control_Panel'!$C$4, '10_Data_Sources'!$D$5:$D$154, B$23)</f>
        <v>0.53</v>
      </c>
      <c r="C26" s="192">
        <f>SUMIFS('10_Data_Sources'!$E$5:$E$154, '10_Data_Sources'!$A$5:$A$154, $A26, '10_Data_Sources'!$C$5:$C$154, '00_Control_Panel'!$C$4, '10_Data_Sources'!$D$5:$D$154, C$23)</f>
        <v>0.50749999999999995</v>
      </c>
      <c r="D26" s="192">
        <f>SUMIFS('10_Data_Sources'!$E$5:$E$154, '10_Data_Sources'!$A$5:$A$154, $A26, '10_Data_Sources'!$C$5:$C$154, '00_Control_Panel'!$C$4, '10_Data_Sources'!$D$5:$D$154, D$23)</f>
        <v>0.48499999999999999</v>
      </c>
      <c r="E26" s="192">
        <f>SUMIFS('10_Data_Sources'!$E$5:$E$154, '10_Data_Sources'!$A$5:$A$154, $A26, '10_Data_Sources'!$C$5:$C$154, '00_Control_Panel'!$C$4, '10_Data_Sources'!$D$5:$D$154, E$23)</f>
        <v>0.46250000000000002</v>
      </c>
      <c r="F26" s="192">
        <f>SUMIFS('10_Data_Sources'!$E$5:$E$154, '10_Data_Sources'!$A$5:$A$154, $A26, '10_Data_Sources'!$C$5:$C$154, '00_Control_Panel'!$C$4, '10_Data_Sources'!$D$5:$D$154, F$23)</f>
        <v>0.44</v>
      </c>
    </row>
    <row r="27" spans="1:6" x14ac:dyDescent="0.25">
      <c r="A27" s="188" t="s">
        <v>7</v>
      </c>
      <c r="B27" s="192">
        <f>SUMIFS('10_Data_Sources'!$E$5:$E$154, '10_Data_Sources'!$A$5:$A$154, $A27, '10_Data_Sources'!$C$5:$C$154, '00_Control_Panel'!$C$4, '10_Data_Sources'!$D$5:$D$154, B$23)</f>
        <v>0.05</v>
      </c>
      <c r="C27" s="192">
        <f>SUMIFS('10_Data_Sources'!$E$5:$E$154, '10_Data_Sources'!$A$5:$A$154, $A27, '10_Data_Sources'!$C$5:$C$154, '00_Control_Panel'!$C$4, '10_Data_Sources'!$D$5:$D$154, C$23)</f>
        <v>8.7499999999999994E-2</v>
      </c>
      <c r="D27" s="192">
        <f>SUMIFS('10_Data_Sources'!$E$5:$E$154, '10_Data_Sources'!$A$5:$A$154, $A27, '10_Data_Sources'!$C$5:$C$154, '00_Control_Panel'!$C$4, '10_Data_Sources'!$D$5:$D$154, D$23)</f>
        <v>0.125</v>
      </c>
      <c r="E27" s="192">
        <f>SUMIFS('10_Data_Sources'!$E$5:$E$154, '10_Data_Sources'!$A$5:$A$154, $A27, '10_Data_Sources'!$C$5:$C$154, '00_Control_Panel'!$C$4, '10_Data_Sources'!$D$5:$D$154, E$23)</f>
        <v>0.16250000000000001</v>
      </c>
      <c r="F27" s="192">
        <f>SUMIFS('10_Data_Sources'!$E$5:$E$154, '10_Data_Sources'!$A$5:$A$154, $A27, '10_Data_Sources'!$C$5:$C$154, '00_Control_Panel'!$C$4, '10_Data_Sources'!$D$5:$D$154, F$23)</f>
        <v>0.2</v>
      </c>
    </row>
    <row r="28" spans="1:6" x14ac:dyDescent="0.25">
      <c r="A28" s="188" t="s">
        <v>8</v>
      </c>
      <c r="B28" s="207">
        <f>SUMIFS('10_Data_Sources'!$E$5:$E$154, '10_Data_Sources'!$A$5:$A$154, $A28, '10_Data_Sources'!$C$5:$C$154, '00_Control_Panel'!$C$4, '10_Data_Sources'!$D$5:$D$154, B$23)</f>
        <v>1.2</v>
      </c>
      <c r="C28" s="207">
        <f>SUMIFS('10_Data_Sources'!$E$5:$E$154, '10_Data_Sources'!$A$5:$A$154, $A28, '10_Data_Sources'!$C$5:$C$154, '00_Control_Panel'!$C$4, '10_Data_Sources'!$D$5:$D$154, C$23)</f>
        <v>1.2</v>
      </c>
      <c r="D28" s="207">
        <f>SUMIFS('10_Data_Sources'!$E$5:$E$154, '10_Data_Sources'!$A$5:$A$154, $A28, '10_Data_Sources'!$C$5:$C$154, '00_Control_Panel'!$C$4, '10_Data_Sources'!$D$5:$D$154, D$23)</f>
        <v>1.2</v>
      </c>
      <c r="E28" s="207">
        <f>SUMIFS('10_Data_Sources'!$E$5:$E$154, '10_Data_Sources'!$A$5:$A$154, $A28, '10_Data_Sources'!$C$5:$C$154, '00_Control_Panel'!$C$4, '10_Data_Sources'!$D$5:$D$154, E$23)</f>
        <v>1.2</v>
      </c>
      <c r="F28" s="207">
        <f>SUMIFS('10_Data_Sources'!$E$5:$E$154, '10_Data_Sources'!$A$5:$A$154, $A28, '10_Data_Sources'!$C$5:$C$154, '00_Control_Panel'!$C$4, '10_Data_Sources'!$D$5:$D$154, F$23)</f>
        <v>1.2</v>
      </c>
    </row>
    <row r="29" spans="1:6" x14ac:dyDescent="0.25">
      <c r="A29" s="188" t="s">
        <v>9</v>
      </c>
      <c r="B29" s="207">
        <f>SUMIFS('10_Data_Sources'!$E$5:$E$154, '10_Data_Sources'!$A$5:$A$154, $A29, '10_Data_Sources'!$C$5:$C$154, '00_Control_Panel'!$C$4, '10_Data_Sources'!$D$5:$D$154, B$23)</f>
        <v>38</v>
      </c>
      <c r="C29" s="207">
        <f>SUMIFS('10_Data_Sources'!$E$5:$E$154, '10_Data_Sources'!$A$5:$A$154, $A29, '10_Data_Sources'!$C$5:$C$154, '00_Control_Panel'!$C$4, '10_Data_Sources'!$D$5:$D$154, C$23)</f>
        <v>35</v>
      </c>
      <c r="D29" s="207">
        <f>SUMIFS('10_Data_Sources'!$E$5:$E$154, '10_Data_Sources'!$A$5:$A$154, $A29, '10_Data_Sources'!$C$5:$C$154, '00_Control_Panel'!$C$4, '10_Data_Sources'!$D$5:$D$154, D$23)</f>
        <v>32</v>
      </c>
      <c r="E29" s="207">
        <f>SUMIFS('10_Data_Sources'!$E$5:$E$154, '10_Data_Sources'!$A$5:$A$154, $A29, '10_Data_Sources'!$C$5:$C$154, '00_Control_Panel'!$C$4, '10_Data_Sources'!$D$5:$D$154, E$23)</f>
        <v>29</v>
      </c>
      <c r="F29" s="207">
        <f>SUMIFS('10_Data_Sources'!$E$5:$E$154, '10_Data_Sources'!$A$5:$A$154, $A29, '10_Data_Sources'!$C$5:$C$154, '00_Control_Panel'!$C$4, '10_Data_Sources'!$D$5:$D$154, F$23)</f>
        <v>26</v>
      </c>
    </row>
    <row r="30" spans="1:6" x14ac:dyDescent="0.25">
      <c r="A30" s="188" t="s">
        <v>10</v>
      </c>
      <c r="B30" s="207">
        <f>SUMIFS('10_Data_Sources'!$E$5:$E$154, '10_Data_Sources'!$A$5:$A$154, $A30, '10_Data_Sources'!$C$5:$C$154, '00_Control_Panel'!$C$4, '10_Data_Sources'!$D$5:$D$154, B$23)</f>
        <v>30</v>
      </c>
      <c r="C30" s="207">
        <f>SUMIFS('10_Data_Sources'!$E$5:$E$154, '10_Data_Sources'!$A$5:$A$154, $A30, '10_Data_Sources'!$C$5:$C$154, '00_Control_Panel'!$C$4, '10_Data_Sources'!$D$5:$D$154, C$23)</f>
        <v>31</v>
      </c>
      <c r="D30" s="207">
        <f>SUMIFS('10_Data_Sources'!$E$5:$E$154, '10_Data_Sources'!$A$5:$A$154, $A30, '10_Data_Sources'!$C$5:$C$154, '00_Control_Panel'!$C$4, '10_Data_Sources'!$D$5:$D$154, D$23)</f>
        <v>32</v>
      </c>
      <c r="E30" s="207">
        <f>SUMIFS('10_Data_Sources'!$E$5:$E$154, '10_Data_Sources'!$A$5:$A$154, $A30, '10_Data_Sources'!$C$5:$C$154, '00_Control_Panel'!$C$4, '10_Data_Sources'!$D$5:$D$154, E$23)</f>
        <v>33</v>
      </c>
      <c r="F30" s="207">
        <f>SUMIFS('10_Data_Sources'!$E$5:$E$154, '10_Data_Sources'!$A$5:$A$154, $A30, '10_Data_Sources'!$C$5:$C$154, '00_Control_Panel'!$C$4, '10_Data_Sources'!$D$5:$D$154, F$23)</f>
        <v>34</v>
      </c>
    </row>
    <row r="31" spans="1:6" x14ac:dyDescent="0.25">
      <c r="A31" s="188" t="s">
        <v>11</v>
      </c>
      <c r="B31" s="192">
        <f>SUMIFS('10_Data_Sources'!$E$5:$E$154, '10_Data_Sources'!$A$5:$A$154, $A31, '10_Data_Sources'!$C$5:$C$154, '00_Control_Panel'!$C$4, '10_Data_Sources'!$D$5:$D$154, B$23)</f>
        <v>7.4999999999999997E-2</v>
      </c>
      <c r="C31" s="192">
        <f>SUMIFS('10_Data_Sources'!$E$5:$E$154, '10_Data_Sources'!$A$5:$A$154, $A31, '10_Data_Sources'!$C$5:$C$154, '00_Control_Panel'!$C$4, '10_Data_Sources'!$D$5:$D$154, C$23)</f>
        <v>7.3749999999999996E-2</v>
      </c>
      <c r="D31" s="192">
        <f>SUMIFS('10_Data_Sources'!$E$5:$E$154, '10_Data_Sources'!$A$5:$A$154, $A31, '10_Data_Sources'!$C$5:$C$154, '00_Control_Panel'!$C$4, '10_Data_Sources'!$D$5:$D$154, D$23)</f>
        <v>7.2499999999999995E-2</v>
      </c>
      <c r="E31" s="192">
        <f>SUMIFS('10_Data_Sources'!$E$5:$E$154, '10_Data_Sources'!$A$5:$A$154, $A31, '10_Data_Sources'!$C$5:$C$154, '00_Control_Panel'!$C$4, '10_Data_Sources'!$D$5:$D$154, E$23)</f>
        <v>7.1249999999999994E-2</v>
      </c>
      <c r="F31" s="192">
        <f>SUMIFS('10_Data_Sources'!$E$5:$E$154, '10_Data_Sources'!$A$5:$A$154, $A31, '10_Data_Sources'!$C$5:$C$154, '00_Control_Panel'!$C$4, '10_Data_Sources'!$D$5:$D$154, F$23)</f>
        <v>7.0000000000000007E-2</v>
      </c>
    </row>
    <row r="32" spans="1:6" x14ac:dyDescent="0.25">
      <c r="A32" s="188" t="s">
        <v>12</v>
      </c>
      <c r="B32" s="192">
        <f>SUMIFS('10_Data_Sources'!$E$5:$E$154, '10_Data_Sources'!$A$5:$A$154, $A32, '10_Data_Sources'!$C$5:$C$154, '00_Control_Panel'!$C$4, '10_Data_Sources'!$D$5:$D$154, B$23)</f>
        <v>5.6000000000000001E-2</v>
      </c>
      <c r="C32" s="192">
        <f>SUMIFS('10_Data_Sources'!$E$5:$E$154, '10_Data_Sources'!$A$5:$A$154, $A32, '10_Data_Sources'!$C$5:$C$154, '00_Control_Panel'!$C$4, '10_Data_Sources'!$D$5:$D$154, C$23)</f>
        <v>5.5500000000000001E-2</v>
      </c>
      <c r="D32" s="192">
        <f>SUMIFS('10_Data_Sources'!$E$5:$E$154, '10_Data_Sources'!$A$5:$A$154, $A32, '10_Data_Sources'!$C$5:$C$154, '00_Control_Panel'!$C$4, '10_Data_Sources'!$D$5:$D$154, D$23)</f>
        <v>5.5E-2</v>
      </c>
      <c r="E32" s="192">
        <f>SUMIFS('10_Data_Sources'!$E$5:$E$154, '10_Data_Sources'!$A$5:$A$154, $A32, '10_Data_Sources'!$C$5:$C$154, '00_Control_Panel'!$C$4, '10_Data_Sources'!$D$5:$D$154, E$23)</f>
        <v>5.45E-2</v>
      </c>
      <c r="F32" s="192">
        <f>SUMIFS('10_Data_Sources'!$E$5:$E$154, '10_Data_Sources'!$A$5:$A$154, $A32, '10_Data_Sources'!$C$5:$C$154, '00_Control_Panel'!$C$4, '10_Data_Sources'!$D$5:$D$154, F$23)</f>
        <v>5.3999999999999999E-2</v>
      </c>
    </row>
    <row r="33" spans="1:6" x14ac:dyDescent="0.25">
      <c r="A33" s="188" t="s">
        <v>13</v>
      </c>
      <c r="B33" s="192">
        <f>SUMIFS('10_Data_Sources'!$E$5:$E$154, '10_Data_Sources'!$A$5:$A$154, $A33, '10_Data_Sources'!$C$5:$C$154, '00_Control_Panel'!$C$4, '10_Data_Sources'!$D$5:$D$154, B$23)</f>
        <v>3.2000000000000001E-2</v>
      </c>
      <c r="C33" s="192">
        <f>SUMIFS('10_Data_Sources'!$E$5:$E$154, '10_Data_Sources'!$A$5:$A$154, $A33, '10_Data_Sources'!$C$5:$C$154, '00_Control_Panel'!$C$4, '10_Data_Sources'!$D$5:$D$154, C$23)</f>
        <v>2.9499999999999998E-2</v>
      </c>
      <c r="D33" s="192">
        <f>SUMIFS('10_Data_Sources'!$E$5:$E$154, '10_Data_Sources'!$A$5:$A$154, $A33, '10_Data_Sources'!$C$5:$C$154, '00_Control_Panel'!$C$4, '10_Data_Sources'!$D$5:$D$154, D$23)</f>
        <v>2.7E-2</v>
      </c>
      <c r="E33" s="192">
        <f>SUMIFS('10_Data_Sources'!$E$5:$E$154, '10_Data_Sources'!$A$5:$A$154, $A33, '10_Data_Sources'!$C$5:$C$154, '00_Control_Panel'!$C$4, '10_Data_Sources'!$D$5:$D$154, E$23)</f>
        <v>2.4500000000000001E-2</v>
      </c>
      <c r="F33" s="192">
        <f>SUMIFS('10_Data_Sources'!$E$5:$E$154, '10_Data_Sources'!$A$5:$A$154, $A33, '10_Data_Sources'!$C$5:$C$154, '00_Control_Panel'!$C$4, '10_Data_Sources'!$D$5:$D$154, F$23)</f>
        <v>2.1999999999999999E-2</v>
      </c>
    </row>
  </sheetData>
  <conditionalFormatting sqref="A6:F18">
    <cfRule type="expression" dxfId="44" priority="1">
      <formula>ISEVEN(ROW())</formula>
    </cfRule>
    <cfRule type="expression" dxfId="43" priority="9">
      <formula>ISEVEN(ROW())</formula>
    </cfRule>
  </conditionalFormatting>
  <conditionalFormatting sqref="A24:A33">
    <cfRule type="expression" priority="10">
      <formula>ISEVEN(ROW())</formula>
    </cfRule>
  </conditionalFormatting>
  <conditionalFormatting sqref="A24:A33">
    <cfRule type="expression" dxfId="42" priority="8">
      <formula>ISEVEN(ROW())</formula>
    </cfRule>
  </conditionalFormatting>
  <conditionalFormatting sqref="B24:F27">
    <cfRule type="expression" dxfId="41" priority="6">
      <formula>ISEVEN(ROW())</formula>
    </cfRule>
    <cfRule type="expression" priority="7">
      <formula>ISEVEN(ROW())</formula>
    </cfRule>
  </conditionalFormatting>
  <conditionalFormatting sqref="B31:F33">
    <cfRule type="expression" dxfId="40" priority="4">
      <formula>ISEVEN(ROW())</formula>
    </cfRule>
    <cfRule type="expression" priority="5">
      <formula>ISEVEN(ROW())</formula>
    </cfRule>
  </conditionalFormatting>
  <conditionalFormatting sqref="B28:F30">
    <cfRule type="expression" dxfId="39" priority="2">
      <formula>ISEVEN(ROW())</formula>
    </cfRule>
    <cfRule type="expression" priority="3">
      <formula>ISEVEN(ROW())</formula>
    </cfRule>
  </conditionalFormatting>
  <conditionalFormatting sqref="A24:F33">
    <cfRule type="expression" dxfId="38" priority="12">
      <formula>ISEVEN(ROW())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6"/>
  <sheetViews>
    <sheetView showGridLines="0" zoomScaleNormal="100" workbookViewId="0">
      <pane ySplit="4" topLeftCell="A5" activePane="bottomLeft" state="frozen"/>
      <selection pane="bottomLeft" activeCell="M102" sqref="M102"/>
    </sheetView>
  </sheetViews>
  <sheetFormatPr defaultRowHeight="15" x14ac:dyDescent="0.25"/>
  <cols>
    <col min="1" max="1" width="62.7109375" customWidth="1"/>
    <col min="2" max="2" width="10.7109375" style="8" customWidth="1"/>
    <col min="3" max="3" width="12.28515625" style="8" customWidth="1"/>
    <col min="4" max="6" width="10.7109375" style="8" customWidth="1"/>
  </cols>
  <sheetData>
    <row r="1" spans="1:6" ht="30" customHeight="1" x14ac:dyDescent="0.3">
      <c r="A1" s="26" t="s">
        <v>156</v>
      </c>
    </row>
    <row r="2" spans="1:6" ht="3.75" customHeight="1" x14ac:dyDescent="0.25"/>
    <row r="3" spans="1:6" ht="15.75" x14ac:dyDescent="0.25">
      <c r="A3" s="22" t="s">
        <v>75</v>
      </c>
    </row>
    <row r="4" spans="1:6" x14ac:dyDescent="0.25">
      <c r="A4" s="27" t="s">
        <v>76</v>
      </c>
      <c r="B4" s="28">
        <v>2021</v>
      </c>
      <c r="C4" s="28">
        <f>B4+1</f>
        <v>2022</v>
      </c>
      <c r="D4" s="28">
        <f t="shared" ref="D4:F4" si="0">C4+1</f>
        <v>2023</v>
      </c>
      <c r="E4" s="28">
        <f t="shared" si="0"/>
        <v>2024</v>
      </c>
      <c r="F4" s="28">
        <f t="shared" si="0"/>
        <v>2025</v>
      </c>
    </row>
    <row r="5" spans="1:6" x14ac:dyDescent="0.25">
      <c r="A5" s="36" t="s">
        <v>77</v>
      </c>
      <c r="B5" s="30">
        <v>540798</v>
      </c>
      <c r="C5" s="42">
        <v>598112</v>
      </c>
      <c r="D5" s="30">
        <v>669765</v>
      </c>
      <c r="E5" s="42">
        <v>771315</v>
      </c>
      <c r="F5" s="30">
        <v>871905</v>
      </c>
    </row>
    <row r="6" spans="1:6" x14ac:dyDescent="0.25">
      <c r="A6" s="37" t="s">
        <v>78</v>
      </c>
      <c r="B6" s="40">
        <v>223049</v>
      </c>
      <c r="C6" s="43">
        <v>257050</v>
      </c>
      <c r="D6" s="40">
        <v>304541</v>
      </c>
      <c r="E6" s="43">
        <v>344481</v>
      </c>
      <c r="F6" s="40">
        <v>401326</v>
      </c>
    </row>
    <row r="7" spans="1:6" x14ac:dyDescent="0.25">
      <c r="A7" s="38" t="s">
        <v>79</v>
      </c>
      <c r="B7" s="41">
        <f>B5-B6</f>
        <v>317749</v>
      </c>
      <c r="C7" s="41">
        <f t="shared" ref="C7:F7" si="1">C5-C6</f>
        <v>341062</v>
      </c>
      <c r="D7" s="41">
        <f t="shared" si="1"/>
        <v>365224</v>
      </c>
      <c r="E7" s="41">
        <f t="shared" si="1"/>
        <v>426834</v>
      </c>
      <c r="F7" s="41">
        <f t="shared" si="1"/>
        <v>470579</v>
      </c>
    </row>
    <row r="8" spans="1:6" x14ac:dyDescent="0.25">
      <c r="A8" s="39" t="s">
        <v>80</v>
      </c>
      <c r="B8" s="40">
        <v>461410</v>
      </c>
      <c r="C8" s="43">
        <v>452265</v>
      </c>
      <c r="D8" s="40">
        <v>437220</v>
      </c>
      <c r="E8" s="43">
        <v>456946</v>
      </c>
      <c r="F8" s="40">
        <v>475915</v>
      </c>
    </row>
    <row r="9" spans="1:6" x14ac:dyDescent="0.25">
      <c r="A9" s="38" t="s">
        <v>81</v>
      </c>
      <c r="B9" s="41">
        <f>B7-B8</f>
        <v>-143661</v>
      </c>
      <c r="C9" s="41">
        <f t="shared" ref="C9:F9" si="2">C7-C8</f>
        <v>-111203</v>
      </c>
      <c r="D9" s="41">
        <f t="shared" si="2"/>
        <v>-71996</v>
      </c>
      <c r="E9" s="41">
        <f t="shared" si="2"/>
        <v>-30112</v>
      </c>
      <c r="F9" s="41">
        <f t="shared" si="2"/>
        <v>-5336</v>
      </c>
    </row>
    <row r="10" spans="1:6" x14ac:dyDescent="0.25">
      <c r="A10" s="37" t="s">
        <v>82</v>
      </c>
      <c r="B10" s="40">
        <v>-347</v>
      </c>
      <c r="C10" s="43">
        <v>1307</v>
      </c>
      <c r="D10" s="40">
        <v>9232</v>
      </c>
      <c r="E10" s="43">
        <v>10597</v>
      </c>
      <c r="F10" s="40">
        <v>8379</v>
      </c>
    </row>
    <row r="11" spans="1:6" x14ac:dyDescent="0.25">
      <c r="A11" s="38" t="s">
        <v>83</v>
      </c>
      <c r="B11" s="41">
        <f>B9+B10</f>
        <v>-144008</v>
      </c>
      <c r="C11" s="41">
        <f t="shared" ref="C11:F11" si="3">C9+C10</f>
        <v>-109896</v>
      </c>
      <c r="D11" s="41">
        <f t="shared" si="3"/>
        <v>-62764</v>
      </c>
      <c r="E11" s="41">
        <f t="shared" si="3"/>
        <v>-19515</v>
      </c>
      <c r="F11" s="41">
        <f t="shared" si="3"/>
        <v>3043</v>
      </c>
    </row>
    <row r="12" spans="1:6" ht="15.75" thickBot="1" x14ac:dyDescent="0.3">
      <c r="A12" s="56" t="s">
        <v>84</v>
      </c>
      <c r="B12" s="57">
        <v>263</v>
      </c>
      <c r="C12" s="58">
        <v>497</v>
      </c>
      <c r="D12" s="57">
        <v>433</v>
      </c>
      <c r="E12" s="58">
        <v>875</v>
      </c>
      <c r="F12" s="57">
        <v>1402</v>
      </c>
    </row>
    <row r="13" spans="1:6" ht="15.75" thickTop="1" x14ac:dyDescent="0.25">
      <c r="A13" s="53" t="s">
        <v>85</v>
      </c>
      <c r="B13" s="54">
        <f>B11-B12</f>
        <v>-144271</v>
      </c>
      <c r="C13" s="55">
        <f t="shared" ref="C13:F13" si="4">C11-C12</f>
        <v>-110393</v>
      </c>
      <c r="D13" s="54">
        <f t="shared" si="4"/>
        <v>-63197</v>
      </c>
      <c r="E13" s="55">
        <f t="shared" si="4"/>
        <v>-20390</v>
      </c>
      <c r="F13" s="54">
        <f t="shared" si="4"/>
        <v>1641</v>
      </c>
    </row>
    <row r="15" spans="1:6" ht="6" customHeight="1" x14ac:dyDescent="0.25"/>
    <row r="16" spans="1:6" x14ac:dyDescent="0.25">
      <c r="A16" s="46" t="s">
        <v>86</v>
      </c>
    </row>
    <row r="17" spans="1:6" x14ac:dyDescent="0.25">
      <c r="A17" s="5" t="s">
        <v>87</v>
      </c>
      <c r="B17" s="24">
        <f>B7-B21</f>
        <v>0</v>
      </c>
      <c r="C17" s="24">
        <f t="shared" ref="C17:F17" si="5">C7-C21</f>
        <v>0</v>
      </c>
      <c r="D17" s="24">
        <f t="shared" si="5"/>
        <v>0</v>
      </c>
      <c r="E17" s="24">
        <f t="shared" si="5"/>
        <v>0</v>
      </c>
      <c r="F17" s="24">
        <f t="shared" si="5"/>
        <v>0</v>
      </c>
    </row>
    <row r="18" spans="1:6" x14ac:dyDescent="0.25">
      <c r="A18" s="5" t="s">
        <v>88</v>
      </c>
      <c r="B18" s="24">
        <f>B9-B22</f>
        <v>0</v>
      </c>
      <c r="C18" s="24">
        <f t="shared" ref="C18:F18" si="6">C9-C22</f>
        <v>0</v>
      </c>
      <c r="D18" s="24">
        <f t="shared" si="6"/>
        <v>0</v>
      </c>
      <c r="E18" s="24">
        <f t="shared" si="6"/>
        <v>0</v>
      </c>
      <c r="F18" s="24">
        <f t="shared" si="6"/>
        <v>0</v>
      </c>
    </row>
    <row r="19" spans="1:6" x14ac:dyDescent="0.25">
      <c r="A19" s="5" t="s">
        <v>89</v>
      </c>
      <c r="B19" s="24">
        <f>B13-B23</f>
        <v>0</v>
      </c>
      <c r="C19" s="24">
        <f t="shared" ref="C19:F19" si="7">C13-C23</f>
        <v>0</v>
      </c>
      <c r="D19" s="24">
        <f t="shared" si="7"/>
        <v>0</v>
      </c>
      <c r="E19" s="24">
        <f t="shared" si="7"/>
        <v>0</v>
      </c>
      <c r="F19" s="24">
        <f t="shared" si="7"/>
        <v>0</v>
      </c>
    </row>
    <row r="21" spans="1:6" x14ac:dyDescent="0.25">
      <c r="A21" s="25" t="s">
        <v>90</v>
      </c>
      <c r="B21" s="45">
        <v>317749</v>
      </c>
      <c r="C21" s="45">
        <v>341062</v>
      </c>
      <c r="D21" s="45">
        <v>365224</v>
      </c>
      <c r="E21" s="45">
        <v>426834</v>
      </c>
      <c r="F21" s="45">
        <v>470579</v>
      </c>
    </row>
    <row r="22" spans="1:6" x14ac:dyDescent="0.25">
      <c r="A22" s="25" t="s">
        <v>91</v>
      </c>
      <c r="B22" s="45">
        <v>-143661</v>
      </c>
      <c r="C22" s="45">
        <v>-111203</v>
      </c>
      <c r="D22" s="45">
        <v>-71996</v>
      </c>
      <c r="E22" s="45">
        <v>-30112</v>
      </c>
      <c r="F22" s="45">
        <v>-5336</v>
      </c>
    </row>
    <row r="23" spans="1:6" x14ac:dyDescent="0.25">
      <c r="A23" s="25" t="s">
        <v>92</v>
      </c>
      <c r="B23" s="45">
        <v>-144271</v>
      </c>
      <c r="C23" s="45">
        <v>-110393</v>
      </c>
      <c r="D23" s="45">
        <v>-63197</v>
      </c>
      <c r="E23" s="45">
        <v>-20390</v>
      </c>
      <c r="F23" s="45">
        <v>1641</v>
      </c>
    </row>
    <row r="25" spans="1:6" ht="6" customHeight="1" x14ac:dyDescent="0.25"/>
    <row r="26" spans="1:6" ht="15.75" x14ac:dyDescent="0.25">
      <c r="A26" s="22" t="s">
        <v>93</v>
      </c>
    </row>
    <row r="27" spans="1:6" x14ac:dyDescent="0.25">
      <c r="A27" s="27" t="s">
        <v>76</v>
      </c>
      <c r="B27" s="28">
        <v>2021</v>
      </c>
      <c r="C27" s="28">
        <f>B27+1</f>
        <v>2022</v>
      </c>
      <c r="D27" s="28">
        <f t="shared" ref="D27:F27" si="8">C27+1</f>
        <v>2023</v>
      </c>
      <c r="E27" s="28">
        <f t="shared" si="8"/>
        <v>2024</v>
      </c>
      <c r="F27" s="28">
        <f t="shared" si="8"/>
        <v>2025</v>
      </c>
    </row>
    <row r="28" spans="1:6" x14ac:dyDescent="0.25">
      <c r="A28" s="33" t="s">
        <v>94</v>
      </c>
      <c r="B28" s="40">
        <v>256416</v>
      </c>
      <c r="C28" s="40">
        <v>208585</v>
      </c>
      <c r="D28" s="40">
        <v>216894</v>
      </c>
      <c r="E28" s="40">
        <v>254161</v>
      </c>
      <c r="F28" s="40">
        <v>286358</v>
      </c>
    </row>
    <row r="29" spans="1:6" x14ac:dyDescent="0.25">
      <c r="A29" s="47" t="s">
        <v>95</v>
      </c>
      <c r="B29" s="40">
        <v>992</v>
      </c>
      <c r="C29" s="40">
        <v>1435</v>
      </c>
      <c r="D29" s="40">
        <v>1779</v>
      </c>
      <c r="E29" s="40">
        <v>1948</v>
      </c>
      <c r="F29" s="40">
        <v>3285</v>
      </c>
    </row>
    <row r="30" spans="1:6" x14ac:dyDescent="0.25">
      <c r="A30" s="33" t="s">
        <v>96</v>
      </c>
      <c r="B30" s="40">
        <v>57095</v>
      </c>
      <c r="C30" s="40">
        <v>68848</v>
      </c>
      <c r="D30" s="40">
        <v>62234</v>
      </c>
      <c r="E30" s="40">
        <v>52345</v>
      </c>
      <c r="F30" s="40">
        <v>44512</v>
      </c>
    </row>
    <row r="31" spans="1:6" x14ac:dyDescent="0.25">
      <c r="A31" s="33" t="s">
        <v>97</v>
      </c>
      <c r="B31" s="40">
        <v>13477</v>
      </c>
      <c r="C31" s="40">
        <v>15700</v>
      </c>
      <c r="D31" s="40">
        <v>17712</v>
      </c>
      <c r="E31" s="40">
        <v>17592</v>
      </c>
      <c r="F31" s="40">
        <v>18283</v>
      </c>
    </row>
    <row r="32" spans="1:6" x14ac:dyDescent="0.25">
      <c r="A32" s="31" t="s">
        <v>98</v>
      </c>
      <c r="B32" s="32">
        <f>SUM(B28:B31)</f>
        <v>327980</v>
      </c>
      <c r="C32" s="32">
        <f t="shared" ref="C32:F32" si="9">SUM(C28:C31)</f>
        <v>294568</v>
      </c>
      <c r="D32" s="32">
        <f t="shared" si="9"/>
        <v>298619</v>
      </c>
      <c r="E32" s="32">
        <f t="shared" si="9"/>
        <v>326046</v>
      </c>
      <c r="F32" s="32">
        <f t="shared" si="9"/>
        <v>352438</v>
      </c>
    </row>
    <row r="33" spans="1:6" x14ac:dyDescent="0.25">
      <c r="A33" s="47" t="s">
        <v>99</v>
      </c>
      <c r="B33" s="40">
        <v>112195</v>
      </c>
      <c r="C33" s="40">
        <v>138628</v>
      </c>
      <c r="D33" s="40">
        <v>152332</v>
      </c>
      <c r="E33" s="40">
        <v>170464</v>
      </c>
      <c r="F33" s="40">
        <v>187448</v>
      </c>
    </row>
    <row r="34" spans="1:6" x14ac:dyDescent="0.25">
      <c r="A34" s="47" t="s">
        <v>100</v>
      </c>
      <c r="B34" s="40">
        <v>0</v>
      </c>
      <c r="C34" s="40">
        <v>127014</v>
      </c>
      <c r="D34" s="40">
        <v>122305</v>
      </c>
      <c r="E34" s="40">
        <v>171284</v>
      </c>
      <c r="F34" s="40">
        <v>170805</v>
      </c>
    </row>
    <row r="35" spans="1:6" ht="15.75" thickBot="1" x14ac:dyDescent="0.3">
      <c r="A35" s="50" t="s">
        <v>101</v>
      </c>
      <c r="B35" s="51">
        <v>471</v>
      </c>
      <c r="C35" s="51">
        <v>8497</v>
      </c>
      <c r="D35" s="51">
        <v>7056</v>
      </c>
      <c r="E35" s="51">
        <v>8696</v>
      </c>
      <c r="F35" s="51">
        <v>10228</v>
      </c>
    </row>
    <row r="36" spans="1:6" ht="15.75" thickTop="1" x14ac:dyDescent="0.25">
      <c r="A36" s="48" t="s">
        <v>102</v>
      </c>
      <c r="B36" s="49">
        <f>B32+B33+B34+B35</f>
        <v>440646</v>
      </c>
      <c r="C36" s="49">
        <f t="shared" ref="C36:F36" si="10">C32+C33+C34+C35</f>
        <v>568707</v>
      </c>
      <c r="D36" s="49">
        <f t="shared" si="10"/>
        <v>580312</v>
      </c>
      <c r="E36" s="49">
        <f t="shared" si="10"/>
        <v>676490</v>
      </c>
      <c r="F36" s="49">
        <f t="shared" si="10"/>
        <v>720919</v>
      </c>
    </row>
    <row r="37" spans="1:6" x14ac:dyDescent="0.25">
      <c r="A37" s="33" t="s">
        <v>103</v>
      </c>
      <c r="B37" s="40">
        <v>30890</v>
      </c>
      <c r="C37" s="40">
        <v>20791</v>
      </c>
      <c r="D37" s="40">
        <v>22456</v>
      </c>
      <c r="E37" s="40">
        <v>23519</v>
      </c>
      <c r="F37" s="40">
        <v>31979</v>
      </c>
    </row>
    <row r="38" spans="1:6" x14ac:dyDescent="0.25">
      <c r="A38" s="33" t="s">
        <v>104</v>
      </c>
      <c r="B38" s="40">
        <v>60840</v>
      </c>
      <c r="C38" s="40">
        <v>58222</v>
      </c>
      <c r="D38" s="40">
        <v>46320</v>
      </c>
      <c r="E38" s="40">
        <v>51609</v>
      </c>
      <c r="F38" s="40">
        <v>49225</v>
      </c>
    </row>
    <row r="39" spans="1:6" x14ac:dyDescent="0.25">
      <c r="A39" s="47" t="s">
        <v>105</v>
      </c>
      <c r="B39" s="40">
        <v>22073</v>
      </c>
      <c r="C39" s="40">
        <v>25628</v>
      </c>
      <c r="D39" s="40">
        <v>31617</v>
      </c>
      <c r="E39" s="40">
        <v>32358</v>
      </c>
      <c r="F39" s="40">
        <v>33869</v>
      </c>
    </row>
    <row r="40" spans="1:6" x14ac:dyDescent="0.25">
      <c r="A40" s="47" t="s">
        <v>106</v>
      </c>
      <c r="B40" s="40">
        <v>0</v>
      </c>
      <c r="C40" s="40">
        <v>22546</v>
      </c>
      <c r="D40" s="40">
        <v>24286</v>
      </c>
      <c r="E40" s="40">
        <v>20235</v>
      </c>
      <c r="F40" s="40">
        <v>31399</v>
      </c>
    </row>
    <row r="41" spans="1:6" x14ac:dyDescent="0.25">
      <c r="A41" s="33" t="s">
        <v>107</v>
      </c>
      <c r="B41" s="40">
        <v>4301</v>
      </c>
      <c r="C41" s="40">
        <v>2370</v>
      </c>
      <c r="D41" s="40">
        <v>2411</v>
      </c>
      <c r="E41" s="40">
        <v>2633</v>
      </c>
      <c r="F41" s="40">
        <v>3658</v>
      </c>
    </row>
    <row r="42" spans="1:6" x14ac:dyDescent="0.25">
      <c r="A42" s="31" t="s">
        <v>108</v>
      </c>
      <c r="B42" s="32">
        <f>SUM(B37:B41)</f>
        <v>118104</v>
      </c>
      <c r="C42" s="32">
        <f t="shared" ref="C42:F42" si="11">SUM(C37:C41)</f>
        <v>129557</v>
      </c>
      <c r="D42" s="32">
        <f t="shared" si="11"/>
        <v>127090</v>
      </c>
      <c r="E42" s="32">
        <f t="shared" si="11"/>
        <v>130354</v>
      </c>
      <c r="F42" s="32">
        <f t="shared" si="11"/>
        <v>150130</v>
      </c>
    </row>
    <row r="43" spans="1:6" x14ac:dyDescent="0.25">
      <c r="A43" s="47" t="s">
        <v>109</v>
      </c>
      <c r="B43" s="40">
        <v>0</v>
      </c>
      <c r="C43" s="40">
        <v>150832</v>
      </c>
      <c r="D43" s="40">
        <v>150171</v>
      </c>
      <c r="E43" s="40">
        <v>205120</v>
      </c>
      <c r="F43" s="40">
        <v>201749</v>
      </c>
    </row>
    <row r="44" spans="1:6" x14ac:dyDescent="0.25">
      <c r="A44" s="47" t="s">
        <v>110</v>
      </c>
      <c r="B44" s="40">
        <v>36544</v>
      </c>
      <c r="C44" s="40">
        <v>0</v>
      </c>
      <c r="D44" s="40">
        <v>0</v>
      </c>
      <c r="E44" s="40">
        <v>0</v>
      </c>
      <c r="F44" s="40">
        <v>0</v>
      </c>
    </row>
    <row r="45" spans="1:6" x14ac:dyDescent="0.25">
      <c r="A45" s="47" t="s">
        <v>111</v>
      </c>
      <c r="B45" s="40">
        <v>0</v>
      </c>
      <c r="C45" s="40">
        <v>1672</v>
      </c>
      <c r="D45" s="40">
        <v>1264</v>
      </c>
      <c r="E45" s="40">
        <v>943</v>
      </c>
      <c r="F45" s="40">
        <v>1310</v>
      </c>
    </row>
    <row r="46" spans="1:6" x14ac:dyDescent="0.25">
      <c r="A46" s="31" t="s">
        <v>112</v>
      </c>
      <c r="B46" s="32">
        <f>B42+B43+B44+B45</f>
        <v>154648</v>
      </c>
      <c r="C46" s="32">
        <f>C42+C43+C44+C45</f>
        <v>282061</v>
      </c>
      <c r="D46" s="32">
        <f t="shared" ref="D46:F46" si="12">D42+D43+D44+D45</f>
        <v>278525</v>
      </c>
      <c r="E46" s="32">
        <f t="shared" si="12"/>
        <v>336417</v>
      </c>
      <c r="F46" s="32">
        <f t="shared" si="12"/>
        <v>353189</v>
      </c>
    </row>
    <row r="47" spans="1:6" x14ac:dyDescent="0.25">
      <c r="A47" s="33" t="s">
        <v>113</v>
      </c>
      <c r="B47" s="40">
        <v>0</v>
      </c>
      <c r="C47" s="40">
        <v>12</v>
      </c>
      <c r="D47" s="40">
        <v>12</v>
      </c>
      <c r="E47" s="40">
        <v>12</v>
      </c>
      <c r="F47" s="40">
        <v>12</v>
      </c>
    </row>
    <row r="48" spans="1:6" x14ac:dyDescent="0.25">
      <c r="A48" s="47" t="s">
        <v>114</v>
      </c>
      <c r="B48" s="40">
        <v>779212</v>
      </c>
      <c r="C48" s="40">
        <v>890915</v>
      </c>
      <c r="D48" s="40">
        <v>970135</v>
      </c>
      <c r="E48" s="40">
        <v>1029220</v>
      </c>
      <c r="F48" s="40">
        <v>1054779</v>
      </c>
    </row>
    <row r="49" spans="1:6" x14ac:dyDescent="0.25">
      <c r="A49" s="47" t="s">
        <v>115</v>
      </c>
      <c r="B49" s="40">
        <v>-493241</v>
      </c>
      <c r="C49" s="40">
        <v>-603634</v>
      </c>
      <c r="D49" s="40">
        <v>-666831</v>
      </c>
      <c r="E49" s="40">
        <v>-687221</v>
      </c>
      <c r="F49" s="40">
        <v>-685580</v>
      </c>
    </row>
    <row r="50" spans="1:6" ht="15" customHeight="1" x14ac:dyDescent="0.25">
      <c r="A50" s="47" t="s">
        <v>116</v>
      </c>
      <c r="B50" s="40">
        <v>16</v>
      </c>
      <c r="C50" s="40">
        <v>-647</v>
      </c>
      <c r="D50" s="40">
        <v>-1529</v>
      </c>
      <c r="E50" s="40">
        <v>-1938</v>
      </c>
      <c r="F50" s="40">
        <v>-1481</v>
      </c>
    </row>
    <row r="51" spans="1:6" ht="15.75" thickBot="1" x14ac:dyDescent="0.3">
      <c r="A51" s="52" t="s">
        <v>117</v>
      </c>
      <c r="B51" s="35">
        <f>SUM(B47:B50)</f>
        <v>285987</v>
      </c>
      <c r="C51" s="35">
        <f t="shared" ref="C51:F51" si="13">SUM(C47:C50)</f>
        <v>286646</v>
      </c>
      <c r="D51" s="35">
        <f t="shared" si="13"/>
        <v>301787</v>
      </c>
      <c r="E51" s="35">
        <f t="shared" si="13"/>
        <v>340073</v>
      </c>
      <c r="F51" s="35">
        <f t="shared" si="13"/>
        <v>367730</v>
      </c>
    </row>
    <row r="52" spans="1:6" ht="15.75" thickTop="1" x14ac:dyDescent="0.25">
      <c r="A52" s="48" t="s">
        <v>118</v>
      </c>
      <c r="B52" s="49">
        <f>B46+B51</f>
        <v>440635</v>
      </c>
      <c r="C52" s="49">
        <f t="shared" ref="C52:F52" si="14">C46+C51</f>
        <v>568707</v>
      </c>
      <c r="D52" s="49">
        <f t="shared" si="14"/>
        <v>580312</v>
      </c>
      <c r="E52" s="49">
        <f t="shared" si="14"/>
        <v>676490</v>
      </c>
      <c r="F52" s="49">
        <f t="shared" si="14"/>
        <v>720919</v>
      </c>
    </row>
    <row r="53" spans="1:6" ht="6" customHeight="1" x14ac:dyDescent="0.25"/>
    <row r="54" spans="1:6" x14ac:dyDescent="0.25">
      <c r="A54" s="46" t="s">
        <v>86</v>
      </c>
    </row>
    <row r="55" spans="1:6" x14ac:dyDescent="0.25">
      <c r="A55" s="5" t="s">
        <v>119</v>
      </c>
      <c r="B55" s="24">
        <f>B32-B62</f>
        <v>0</v>
      </c>
      <c r="C55" s="24">
        <f t="shared" ref="C55:F55" si="15">C32-C62</f>
        <v>0</v>
      </c>
      <c r="D55" s="24">
        <f t="shared" si="15"/>
        <v>0</v>
      </c>
      <c r="E55" s="24">
        <f t="shared" si="15"/>
        <v>0</v>
      </c>
      <c r="F55" s="24">
        <f t="shared" si="15"/>
        <v>0</v>
      </c>
    </row>
    <row r="56" spans="1:6" x14ac:dyDescent="0.25">
      <c r="A56" s="5" t="s">
        <v>120</v>
      </c>
      <c r="B56" s="24">
        <f>B36-B63</f>
        <v>0</v>
      </c>
      <c r="C56" s="24">
        <f t="shared" ref="C56:F56" si="16">C36-C63</f>
        <v>0</v>
      </c>
      <c r="D56" s="24">
        <f t="shared" si="16"/>
        <v>0</v>
      </c>
      <c r="E56" s="24">
        <f t="shared" si="16"/>
        <v>0</v>
      </c>
      <c r="F56" s="24">
        <f t="shared" si="16"/>
        <v>0</v>
      </c>
    </row>
    <row r="57" spans="1:6" x14ac:dyDescent="0.25">
      <c r="A57" s="5" t="s">
        <v>121</v>
      </c>
      <c r="B57" s="24">
        <f>B42-B64</f>
        <v>0</v>
      </c>
      <c r="C57" s="24">
        <f t="shared" ref="C57:F57" si="17">C42-C64</f>
        <v>0</v>
      </c>
      <c r="D57" s="24">
        <f t="shared" si="17"/>
        <v>0</v>
      </c>
      <c r="E57" s="24">
        <f t="shared" si="17"/>
        <v>0</v>
      </c>
      <c r="F57" s="24">
        <f t="shared" si="17"/>
        <v>0</v>
      </c>
    </row>
    <row r="58" spans="1:6" x14ac:dyDescent="0.25">
      <c r="A58" s="5" t="s">
        <v>122</v>
      </c>
      <c r="B58" s="24">
        <f>B46-B65</f>
        <v>0</v>
      </c>
      <c r="C58" s="24">
        <f t="shared" ref="C58:F58" si="18">C46-C65</f>
        <v>0</v>
      </c>
      <c r="D58" s="24">
        <f t="shared" si="18"/>
        <v>0</v>
      </c>
      <c r="E58" s="24">
        <f t="shared" si="18"/>
        <v>0</v>
      </c>
      <c r="F58" s="24">
        <f t="shared" si="18"/>
        <v>0</v>
      </c>
    </row>
    <row r="59" spans="1:6" x14ac:dyDescent="0.25">
      <c r="A59" s="5" t="s">
        <v>123</v>
      </c>
      <c r="B59" s="24">
        <f>B51-B66</f>
        <v>-11</v>
      </c>
      <c r="C59" s="24">
        <f t="shared" ref="C59:F59" si="19">C51-C66</f>
        <v>0</v>
      </c>
      <c r="D59" s="24">
        <f t="shared" si="19"/>
        <v>0</v>
      </c>
      <c r="E59" s="24">
        <f t="shared" si="19"/>
        <v>0</v>
      </c>
      <c r="F59" s="24">
        <f t="shared" si="19"/>
        <v>0</v>
      </c>
    </row>
    <row r="60" spans="1:6" x14ac:dyDescent="0.25">
      <c r="A60" s="5" t="s">
        <v>124</v>
      </c>
      <c r="B60" s="24">
        <f>B36-B52</f>
        <v>11</v>
      </c>
      <c r="C60" s="24">
        <f t="shared" ref="C60:F60" si="20">C36-C52</f>
        <v>0</v>
      </c>
      <c r="D60" s="24">
        <f t="shared" si="20"/>
        <v>0</v>
      </c>
      <c r="E60" s="24">
        <f t="shared" si="20"/>
        <v>0</v>
      </c>
      <c r="F60" s="24">
        <f t="shared" si="20"/>
        <v>0</v>
      </c>
    </row>
    <row r="62" spans="1:6" x14ac:dyDescent="0.25">
      <c r="A62" s="25" t="s">
        <v>125</v>
      </c>
      <c r="B62" s="45">
        <v>327980</v>
      </c>
      <c r="C62" s="45">
        <v>294568</v>
      </c>
      <c r="D62" s="45">
        <v>298619</v>
      </c>
      <c r="E62" s="45">
        <v>326046</v>
      </c>
      <c r="F62" s="45">
        <v>352438</v>
      </c>
    </row>
    <row r="63" spans="1:6" x14ac:dyDescent="0.25">
      <c r="A63" s="25" t="s">
        <v>126</v>
      </c>
      <c r="B63" s="45">
        <v>440646</v>
      </c>
      <c r="C63" s="45">
        <v>568707</v>
      </c>
      <c r="D63" s="45">
        <v>580312</v>
      </c>
      <c r="E63" s="45">
        <v>676490</v>
      </c>
      <c r="F63" s="45">
        <v>720919</v>
      </c>
    </row>
    <row r="64" spans="1:6" x14ac:dyDescent="0.25">
      <c r="A64" s="25" t="s">
        <v>127</v>
      </c>
      <c r="B64" s="45">
        <v>118104</v>
      </c>
      <c r="C64" s="45">
        <v>129557</v>
      </c>
      <c r="D64" s="45">
        <v>127090</v>
      </c>
      <c r="E64" s="45">
        <v>130354</v>
      </c>
      <c r="F64" s="45">
        <v>150130</v>
      </c>
    </row>
    <row r="65" spans="1:6" x14ac:dyDescent="0.25">
      <c r="A65" s="25" t="s">
        <v>128</v>
      </c>
      <c r="B65" s="45">
        <v>154648</v>
      </c>
      <c r="C65" s="45">
        <v>282061</v>
      </c>
      <c r="D65" s="45">
        <v>278525</v>
      </c>
      <c r="E65" s="45">
        <v>336417</v>
      </c>
      <c r="F65" s="45">
        <v>353189</v>
      </c>
    </row>
    <row r="66" spans="1:6" x14ac:dyDescent="0.25">
      <c r="A66" s="25" t="s">
        <v>129</v>
      </c>
      <c r="B66" s="45">
        <v>285998</v>
      </c>
      <c r="C66" s="45">
        <v>286646</v>
      </c>
      <c r="D66" s="45">
        <v>301787</v>
      </c>
      <c r="E66" s="45">
        <v>340073</v>
      </c>
      <c r="F66" s="45">
        <v>367730</v>
      </c>
    </row>
    <row r="67" spans="1:6" ht="6" customHeight="1" x14ac:dyDescent="0.25"/>
    <row r="68" spans="1:6" ht="15.75" x14ac:dyDescent="0.25">
      <c r="A68" s="22" t="s">
        <v>130</v>
      </c>
    </row>
    <row r="69" spans="1:6" x14ac:dyDescent="0.25">
      <c r="A69" s="80" t="s">
        <v>76</v>
      </c>
      <c r="B69" s="28">
        <v>2021</v>
      </c>
      <c r="C69" s="28">
        <f>B69+1</f>
        <v>2022</v>
      </c>
      <c r="D69" s="28">
        <f t="shared" ref="D69:F69" si="21">C69+1</f>
        <v>2023</v>
      </c>
      <c r="E69" s="71">
        <f t="shared" si="21"/>
        <v>2024</v>
      </c>
      <c r="F69" s="71">
        <f t="shared" si="21"/>
        <v>2025</v>
      </c>
    </row>
    <row r="70" spans="1:6" x14ac:dyDescent="0.25">
      <c r="A70" s="38" t="s">
        <v>85</v>
      </c>
      <c r="B70" s="72">
        <f>B13</f>
        <v>-144271</v>
      </c>
      <c r="C70" s="73">
        <f t="shared" ref="C70:F70" si="22">C13</f>
        <v>-110393</v>
      </c>
      <c r="D70" s="72">
        <f t="shared" si="22"/>
        <v>-63197</v>
      </c>
      <c r="E70" s="74">
        <f t="shared" si="22"/>
        <v>-20390</v>
      </c>
      <c r="F70" s="72">
        <f t="shared" si="22"/>
        <v>1641</v>
      </c>
    </row>
    <row r="71" spans="1:6" x14ac:dyDescent="0.25">
      <c r="A71" s="37" t="s">
        <v>131</v>
      </c>
      <c r="B71" s="40">
        <v>21868</v>
      </c>
      <c r="C71" s="43">
        <v>31864</v>
      </c>
      <c r="D71" s="40">
        <v>38554</v>
      </c>
      <c r="E71" s="43">
        <v>45865</v>
      </c>
      <c r="F71" s="40">
        <v>50280</v>
      </c>
    </row>
    <row r="72" spans="1:6" x14ac:dyDescent="0.25">
      <c r="A72" s="59" t="s">
        <v>132</v>
      </c>
      <c r="B72" s="29">
        <v>107148</v>
      </c>
      <c r="C72" s="66">
        <v>98032</v>
      </c>
      <c r="D72" s="29">
        <v>70509</v>
      </c>
      <c r="E72" s="66">
        <v>47294</v>
      </c>
      <c r="F72" s="29">
        <v>34536</v>
      </c>
    </row>
    <row r="73" spans="1:6" x14ac:dyDescent="0.25">
      <c r="A73" s="39" t="s">
        <v>133</v>
      </c>
      <c r="B73" s="40">
        <v>0</v>
      </c>
      <c r="C73" s="43">
        <v>0</v>
      </c>
      <c r="D73" s="40">
        <v>2895</v>
      </c>
      <c r="E73" s="43">
        <v>3704</v>
      </c>
      <c r="F73" s="40">
        <v>3405</v>
      </c>
    </row>
    <row r="74" spans="1:6" x14ac:dyDescent="0.25">
      <c r="A74" s="59" t="s">
        <v>134</v>
      </c>
      <c r="B74" s="29">
        <v>0</v>
      </c>
      <c r="C74" s="66">
        <v>1647</v>
      </c>
      <c r="D74" s="29">
        <v>3230</v>
      </c>
      <c r="E74" s="66">
        <v>816</v>
      </c>
      <c r="F74" s="29">
        <v>557</v>
      </c>
    </row>
    <row r="75" spans="1:6" x14ac:dyDescent="0.25">
      <c r="A75" s="37" t="s">
        <v>135</v>
      </c>
      <c r="B75" s="40">
        <v>7757</v>
      </c>
      <c r="C75" s="43">
        <v>3770</v>
      </c>
      <c r="D75" s="40">
        <v>3191</v>
      </c>
      <c r="E75" s="43">
        <v>2196</v>
      </c>
      <c r="F75" s="40">
        <v>2821</v>
      </c>
    </row>
    <row r="76" spans="1:6" x14ac:dyDescent="0.25">
      <c r="A76" s="59" t="s">
        <v>136</v>
      </c>
      <c r="B76" s="29">
        <v>8547</v>
      </c>
      <c r="C76" s="66">
        <v>0</v>
      </c>
      <c r="D76" s="29">
        <v>0</v>
      </c>
      <c r="E76" s="66"/>
      <c r="F76" s="29">
        <v>0</v>
      </c>
    </row>
    <row r="77" spans="1:6" x14ac:dyDescent="0.25">
      <c r="A77" s="37" t="s">
        <v>95</v>
      </c>
      <c r="B77" s="40">
        <v>-392</v>
      </c>
      <c r="C77" s="43">
        <v>-451</v>
      </c>
      <c r="D77" s="40">
        <v>-345</v>
      </c>
      <c r="E77" s="43">
        <v>-169</v>
      </c>
      <c r="F77" s="40">
        <v>-1337</v>
      </c>
    </row>
    <row r="78" spans="1:6" x14ac:dyDescent="0.25">
      <c r="A78" s="34" t="s">
        <v>96</v>
      </c>
      <c r="B78" s="62">
        <v>-18624</v>
      </c>
      <c r="C78" s="67">
        <v>-11794</v>
      </c>
      <c r="D78" s="62">
        <v>6614</v>
      </c>
      <c r="E78" s="67">
        <v>9889</v>
      </c>
      <c r="F78" s="62">
        <v>7833</v>
      </c>
    </row>
    <row r="79" spans="1:6" x14ac:dyDescent="0.25">
      <c r="A79" s="59" t="s">
        <v>137</v>
      </c>
      <c r="B79" s="29">
        <v>-6887</v>
      </c>
      <c r="C79" s="66">
        <v>-10287</v>
      </c>
      <c r="D79" s="29">
        <v>-3276</v>
      </c>
      <c r="E79" s="66">
        <v>-3233</v>
      </c>
      <c r="F79" s="29">
        <v>-5631</v>
      </c>
    </row>
    <row r="80" spans="1:6" x14ac:dyDescent="0.25">
      <c r="A80" s="37" t="s">
        <v>103</v>
      </c>
      <c r="B80" s="40">
        <v>-11114</v>
      </c>
      <c r="C80" s="43">
        <v>-7943</v>
      </c>
      <c r="D80" s="40">
        <v>1633</v>
      </c>
      <c r="E80" s="43">
        <v>689</v>
      </c>
      <c r="F80" s="40">
        <v>8500</v>
      </c>
    </row>
    <row r="81" spans="1:6" x14ac:dyDescent="0.25">
      <c r="A81" s="59" t="s">
        <v>104</v>
      </c>
      <c r="B81" s="29">
        <v>9486</v>
      </c>
      <c r="C81" s="66">
        <v>2748</v>
      </c>
      <c r="D81" s="29">
        <v>-8898</v>
      </c>
      <c r="E81" s="66">
        <v>9521</v>
      </c>
      <c r="F81" s="29">
        <v>-2691</v>
      </c>
    </row>
    <row r="82" spans="1:6" x14ac:dyDescent="0.25">
      <c r="A82" s="37" t="s">
        <v>105</v>
      </c>
      <c r="B82" s="40">
        <v>-4478</v>
      </c>
      <c r="C82" s="43">
        <v>3583</v>
      </c>
      <c r="D82" s="40">
        <v>5989</v>
      </c>
      <c r="E82" s="43">
        <v>741</v>
      </c>
      <c r="F82" s="40">
        <v>1511</v>
      </c>
    </row>
    <row r="83" spans="1:6" x14ac:dyDescent="0.25">
      <c r="A83" s="59" t="s">
        <v>107</v>
      </c>
      <c r="B83" s="29">
        <v>579</v>
      </c>
      <c r="C83" s="66">
        <v>537</v>
      </c>
      <c r="D83" s="29">
        <v>41</v>
      </c>
      <c r="E83" s="66">
        <v>0</v>
      </c>
      <c r="F83" s="29">
        <v>0</v>
      </c>
    </row>
    <row r="84" spans="1:6" x14ac:dyDescent="0.25">
      <c r="A84" s="37" t="s">
        <v>111</v>
      </c>
      <c r="B84" s="40">
        <v>-1613</v>
      </c>
      <c r="C84" s="43">
        <v>1672</v>
      </c>
      <c r="D84" s="40">
        <v>-408</v>
      </c>
      <c r="E84" s="43">
        <v>-99</v>
      </c>
      <c r="F84" s="40">
        <v>1088</v>
      </c>
    </row>
    <row r="85" spans="1:6" x14ac:dyDescent="0.25">
      <c r="A85" s="59" t="s">
        <v>138</v>
      </c>
      <c r="B85" s="29">
        <v>0</v>
      </c>
      <c r="C85" s="66">
        <v>7385</v>
      </c>
      <c r="D85" s="29">
        <v>4459</v>
      </c>
      <c r="E85" s="66">
        <v>1920</v>
      </c>
      <c r="F85" s="29">
        <v>8272</v>
      </c>
    </row>
    <row r="86" spans="1:6" x14ac:dyDescent="0.25">
      <c r="A86" s="60" t="s">
        <v>139</v>
      </c>
      <c r="B86" s="32">
        <f>SUM(B70:B85)</f>
        <v>-31994</v>
      </c>
      <c r="C86" s="68">
        <f t="shared" ref="C86:F86" si="23">SUM(C70:C85)</f>
        <v>10370</v>
      </c>
      <c r="D86" s="32">
        <f t="shared" si="23"/>
        <v>60991</v>
      </c>
      <c r="E86" s="68">
        <f t="shared" si="23"/>
        <v>98744</v>
      </c>
      <c r="F86" s="32">
        <f t="shared" si="23"/>
        <v>110785</v>
      </c>
    </row>
    <row r="87" spans="1:6" x14ac:dyDescent="0.25">
      <c r="A87" s="59" t="s">
        <v>140</v>
      </c>
      <c r="B87" s="29">
        <v>-48513</v>
      </c>
      <c r="C87" s="66">
        <v>-60181</v>
      </c>
      <c r="D87" s="29">
        <v>-53671</v>
      </c>
      <c r="E87" s="66">
        <v>-64032</v>
      </c>
      <c r="F87" s="29">
        <v>-67048</v>
      </c>
    </row>
    <row r="88" spans="1:6" x14ac:dyDescent="0.25">
      <c r="A88" s="37" t="s">
        <v>141</v>
      </c>
      <c r="B88" s="40">
        <v>0</v>
      </c>
      <c r="C88" s="43">
        <v>0</v>
      </c>
      <c r="D88" s="40">
        <v>-1000</v>
      </c>
      <c r="E88" s="43">
        <v>-2000</v>
      </c>
      <c r="F88" s="40">
        <v>0</v>
      </c>
    </row>
    <row r="89" spans="1:6" x14ac:dyDescent="0.25">
      <c r="A89" s="38" t="s">
        <v>142</v>
      </c>
      <c r="B89" s="41">
        <f>SUM(B87:B88)</f>
        <v>-48513</v>
      </c>
      <c r="C89" s="44">
        <f t="shared" ref="C89:F89" si="24">SUM(C87:C88)</f>
        <v>-60181</v>
      </c>
      <c r="D89" s="41">
        <f t="shared" si="24"/>
        <v>-54671</v>
      </c>
      <c r="E89" s="44">
        <f t="shared" si="24"/>
        <v>-66032</v>
      </c>
      <c r="F89" s="41">
        <f t="shared" si="24"/>
        <v>-67048</v>
      </c>
    </row>
    <row r="90" spans="1:6" x14ac:dyDescent="0.25">
      <c r="A90" s="37" t="s">
        <v>143</v>
      </c>
      <c r="B90" s="40">
        <v>22999</v>
      </c>
      <c r="C90" s="43">
        <v>3291</v>
      </c>
      <c r="D90" s="40">
        <v>2871</v>
      </c>
      <c r="E90" s="43">
        <v>4961</v>
      </c>
      <c r="F90" s="40">
        <v>-11997</v>
      </c>
    </row>
    <row r="91" spans="1:6" x14ac:dyDescent="0.25">
      <c r="A91" s="59" t="s">
        <v>144</v>
      </c>
      <c r="B91" s="29">
        <v>-161</v>
      </c>
      <c r="C91" s="66">
        <v>-1311</v>
      </c>
      <c r="D91" s="29">
        <v>-882</v>
      </c>
      <c r="E91" s="66">
        <v>-404</v>
      </c>
      <c r="F91" s="29">
        <v>457</v>
      </c>
    </row>
    <row r="92" spans="1:6" x14ac:dyDescent="0.25">
      <c r="A92" s="60" t="s">
        <v>145</v>
      </c>
      <c r="B92" s="32">
        <f>B86+B89+B90+B91</f>
        <v>-57669</v>
      </c>
      <c r="C92" s="68">
        <f t="shared" ref="C92:F92" si="25">C86+C89+C90+C91</f>
        <v>-47831</v>
      </c>
      <c r="D92" s="32">
        <f t="shared" si="25"/>
        <v>8309</v>
      </c>
      <c r="E92" s="68">
        <f t="shared" si="25"/>
        <v>37269</v>
      </c>
      <c r="F92" s="32">
        <f t="shared" si="25"/>
        <v>32197</v>
      </c>
    </row>
    <row r="93" spans="1:6" x14ac:dyDescent="0.25">
      <c r="A93" s="38" t="s">
        <v>146</v>
      </c>
      <c r="B93" s="40">
        <v>314085</v>
      </c>
      <c r="C93" s="72">
        <f>B95</f>
        <v>256416</v>
      </c>
      <c r="D93" s="72">
        <f t="shared" ref="D93:F93" si="26">C95</f>
        <v>208585</v>
      </c>
      <c r="E93" s="72">
        <f t="shared" si="26"/>
        <v>216894</v>
      </c>
      <c r="F93" s="72">
        <f t="shared" si="26"/>
        <v>254163</v>
      </c>
    </row>
    <row r="94" spans="1:6" ht="15.75" thickBot="1" x14ac:dyDescent="0.3">
      <c r="A94" s="76"/>
      <c r="B94" s="77"/>
      <c r="C94" s="78"/>
      <c r="D94" s="77"/>
      <c r="E94" s="78"/>
      <c r="F94" s="77"/>
    </row>
    <row r="95" spans="1:6" ht="15.75" thickTop="1" x14ac:dyDescent="0.25">
      <c r="A95" s="75" t="s">
        <v>147</v>
      </c>
      <c r="B95" s="49">
        <f>B92+B93</f>
        <v>256416</v>
      </c>
      <c r="C95" s="49">
        <f t="shared" ref="C95:F95" si="27">C92+C93</f>
        <v>208585</v>
      </c>
      <c r="D95" s="49">
        <f t="shared" si="27"/>
        <v>216894</v>
      </c>
      <c r="E95" s="49">
        <f t="shared" si="27"/>
        <v>254163</v>
      </c>
      <c r="F95" s="49">
        <f t="shared" si="27"/>
        <v>286360</v>
      </c>
    </row>
    <row r="96" spans="1:6" ht="6" customHeight="1" x14ac:dyDescent="0.25"/>
    <row r="97" spans="1:6" x14ac:dyDescent="0.25">
      <c r="A97" s="46" t="s">
        <v>86</v>
      </c>
    </row>
    <row r="98" spans="1:6" x14ac:dyDescent="0.25">
      <c r="A98" s="5" t="s">
        <v>148</v>
      </c>
      <c r="B98" s="24">
        <f>B86-B102</f>
        <v>0</v>
      </c>
      <c r="C98" s="24">
        <f t="shared" ref="C98:F98" si="28">C86-C102</f>
        <v>0</v>
      </c>
      <c r="D98" s="24">
        <f t="shared" si="28"/>
        <v>0</v>
      </c>
      <c r="E98" s="24">
        <f t="shared" si="28"/>
        <v>0</v>
      </c>
      <c r="F98" s="24">
        <f t="shared" si="28"/>
        <v>0</v>
      </c>
    </row>
    <row r="99" spans="1:6" x14ac:dyDescent="0.25">
      <c r="A99" s="5" t="s">
        <v>149</v>
      </c>
      <c r="B99" s="24">
        <f>B89-B103</f>
        <v>0</v>
      </c>
      <c r="C99" s="24">
        <f t="shared" ref="C99:F99" si="29">C89-C103</f>
        <v>0</v>
      </c>
      <c r="D99" s="24">
        <f t="shared" si="29"/>
        <v>0</v>
      </c>
      <c r="E99" s="24">
        <f t="shared" si="29"/>
        <v>0</v>
      </c>
      <c r="F99" s="24">
        <f t="shared" si="29"/>
        <v>0</v>
      </c>
    </row>
    <row r="100" spans="1:6" x14ac:dyDescent="0.25">
      <c r="A100" s="5" t="s">
        <v>150</v>
      </c>
      <c r="B100" s="24">
        <f>B92-B104</f>
        <v>0</v>
      </c>
      <c r="C100" s="24">
        <f t="shared" ref="C100:E100" si="30">C92-C104</f>
        <v>0</v>
      </c>
      <c r="D100" s="24">
        <f t="shared" si="30"/>
        <v>0</v>
      </c>
      <c r="E100" s="24">
        <f t="shared" si="30"/>
        <v>2</v>
      </c>
      <c r="F100" s="24">
        <f>F92-F104</f>
        <v>0</v>
      </c>
    </row>
    <row r="101" spans="1:6" x14ac:dyDescent="0.25">
      <c r="B101" s="23"/>
      <c r="C101" s="23"/>
      <c r="D101" s="23"/>
      <c r="E101" s="23"/>
      <c r="F101" s="23"/>
    </row>
    <row r="102" spans="1:6" x14ac:dyDescent="0.25">
      <c r="A102" s="25" t="s">
        <v>151</v>
      </c>
      <c r="B102" s="45">
        <v>-31994</v>
      </c>
      <c r="C102" s="45">
        <v>10370</v>
      </c>
      <c r="D102" s="45">
        <v>60991</v>
      </c>
      <c r="E102" s="45">
        <v>98744</v>
      </c>
      <c r="F102" s="45">
        <v>110785</v>
      </c>
    </row>
    <row r="103" spans="1:6" x14ac:dyDescent="0.25">
      <c r="A103" s="25" t="s">
        <v>152</v>
      </c>
      <c r="B103" s="45">
        <v>-48513</v>
      </c>
      <c r="C103" s="45">
        <v>-60181</v>
      </c>
      <c r="D103" s="45">
        <v>-54671</v>
      </c>
      <c r="E103" s="45">
        <v>-66032</v>
      </c>
      <c r="F103" s="45">
        <v>-67048</v>
      </c>
    </row>
    <row r="104" spans="1:6" x14ac:dyDescent="0.25">
      <c r="A104" s="25" t="s">
        <v>153</v>
      </c>
      <c r="B104" s="45">
        <v>-57669</v>
      </c>
      <c r="C104" s="45">
        <v>-47831</v>
      </c>
      <c r="D104" s="45">
        <v>8309</v>
      </c>
      <c r="E104" s="45">
        <v>37267</v>
      </c>
      <c r="F104" s="45">
        <v>32197</v>
      </c>
    </row>
    <row r="106" spans="1:6" x14ac:dyDescent="0.25">
      <c r="A106" s="79" t="s">
        <v>154</v>
      </c>
      <c r="B106" s="24">
        <f>B95-B28</f>
        <v>0</v>
      </c>
      <c r="C106" s="24">
        <f t="shared" ref="C106:F106" si="31">C95-C28</f>
        <v>0</v>
      </c>
      <c r="D106" s="24">
        <f t="shared" si="31"/>
        <v>0</v>
      </c>
      <c r="E106" s="24">
        <f t="shared" si="31"/>
        <v>2</v>
      </c>
      <c r="F106" s="24">
        <f t="shared" si="31"/>
        <v>2</v>
      </c>
    </row>
  </sheetData>
  <conditionalFormatting sqref="B17:F19">
    <cfRule type="cellIs" dxfId="37" priority="11" operator="notEqual">
      <formula>0</formula>
    </cfRule>
  </conditionalFormatting>
  <conditionalFormatting sqref="B5:F12">
    <cfRule type="expression" dxfId="36" priority="8">
      <formula>"ISEVEN(ROW())"</formula>
    </cfRule>
  </conditionalFormatting>
  <conditionalFormatting sqref="B13:F13">
    <cfRule type="expression" dxfId="35" priority="7">
      <formula>"ISEVEN(ROW())"</formula>
    </cfRule>
  </conditionalFormatting>
  <conditionalFormatting sqref="B55:F60">
    <cfRule type="cellIs" dxfId="34" priority="6" operator="notEqual">
      <formula>0</formula>
    </cfRule>
  </conditionalFormatting>
  <conditionalFormatting sqref="B98:F100">
    <cfRule type="cellIs" dxfId="33" priority="5" operator="notEqual">
      <formula>0</formula>
    </cfRule>
  </conditionalFormatting>
  <conditionalFormatting sqref="B106:F106">
    <cfRule type="cellIs" dxfId="32" priority="4" operator="notEqual">
      <formula>0</formula>
    </cfRule>
  </conditionalFormatting>
  <conditionalFormatting sqref="A5:F12">
    <cfRule type="expression" dxfId="31" priority="3">
      <formula>ISEVEN(ROW())</formula>
    </cfRule>
  </conditionalFormatting>
  <conditionalFormatting sqref="A28:F51">
    <cfRule type="expression" dxfId="30" priority="2">
      <formula>ISEVEN(ROW())</formula>
    </cfRule>
  </conditionalFormatting>
  <conditionalFormatting sqref="A70:F94">
    <cfRule type="expression" dxfId="29" priority="1">
      <formula>ISEVEN(ROW())</formula>
    </cfRule>
  </conditionalFormatting>
  <pageMargins left="0.7" right="0.7" top="0.75" bottom="0.75" header="0.3" footer="0.3"/>
  <ignoredErrors>
    <ignoredError sqref="B32" formulaRange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showGridLines="0" workbookViewId="0">
      <pane ySplit="5" topLeftCell="A6" activePane="bottomLeft" state="frozen"/>
      <selection pane="bottomLeft" activeCell="L22" sqref="L22"/>
    </sheetView>
  </sheetViews>
  <sheetFormatPr defaultRowHeight="15" x14ac:dyDescent="0.25"/>
  <cols>
    <col min="1" max="1" width="72.7109375" bestFit="1" customWidth="1"/>
    <col min="2" max="6" width="12.7109375" style="8" customWidth="1"/>
  </cols>
  <sheetData>
    <row r="1" spans="1:6" ht="30" customHeight="1" x14ac:dyDescent="0.3">
      <c r="A1" s="26" t="s">
        <v>155</v>
      </c>
    </row>
    <row r="3" spans="1:6" x14ac:dyDescent="0.25">
      <c r="A3" s="1" t="s">
        <v>157</v>
      </c>
      <c r="B3" s="81" t="str">
        <f>'00_Control_Panel'!C4</f>
        <v>Best</v>
      </c>
    </row>
    <row r="5" spans="1:6" x14ac:dyDescent="0.25">
      <c r="A5" s="84" t="s">
        <v>76</v>
      </c>
      <c r="B5" s="85">
        <v>2026</v>
      </c>
      <c r="C5" s="85">
        <f>B5+1</f>
        <v>2027</v>
      </c>
      <c r="D5" s="85">
        <f t="shared" ref="D5:F5" si="0">C5+1</f>
        <v>2028</v>
      </c>
      <c r="E5" s="85">
        <f t="shared" si="0"/>
        <v>2029</v>
      </c>
      <c r="F5" s="85">
        <f t="shared" si="0"/>
        <v>2030</v>
      </c>
    </row>
    <row r="6" spans="1:6" x14ac:dyDescent="0.25">
      <c r="A6" s="83" t="s">
        <v>77</v>
      </c>
      <c r="B6" s="65">
        <f>'02_Historical_IS_BS_CF'!F5*(1+'01_Assumptions'!B24)</f>
        <v>1002690.7499999999</v>
      </c>
      <c r="C6" s="65">
        <f>B6*(1+'01_Assumptions'!C24)</f>
        <v>1143067.4550000001</v>
      </c>
      <c r="D6" s="65">
        <f>C6*(1+'01_Assumptions'!D24)</f>
        <v>1291666.2241499999</v>
      </c>
      <c r="E6" s="65">
        <f>D6*(1+'01_Assumptions'!E24)</f>
        <v>1446666.171048</v>
      </c>
      <c r="F6" s="65">
        <f>E6*(1+'01_Assumptions'!F24)</f>
        <v>1605799.4498632802</v>
      </c>
    </row>
    <row r="7" spans="1:6" x14ac:dyDescent="0.25">
      <c r="A7" s="83" t="s">
        <v>78</v>
      </c>
      <c r="B7" s="65">
        <f>B6*(1-'01_Assumptions'!B25)</f>
        <v>451210.83749999991</v>
      </c>
      <c r="C7" s="65">
        <f>C6*(1-'01_Assumptions'!C25)</f>
        <v>508665.017475</v>
      </c>
      <c r="D7" s="65">
        <f>D6*(1-'01_Assumptions'!D25)</f>
        <v>568333.13862599991</v>
      </c>
      <c r="E7" s="65">
        <f>E6*(1-'01_Assumptions'!E25)</f>
        <v>629299.78440588003</v>
      </c>
      <c r="F7" s="65">
        <f>F6*(1-'01_Assumptions'!F25)</f>
        <v>690493.7634412105</v>
      </c>
    </row>
    <row r="8" spans="1:6" x14ac:dyDescent="0.25">
      <c r="A8" s="31" t="s">
        <v>79</v>
      </c>
      <c r="B8" s="32">
        <f>B6-B7</f>
        <v>551479.91249999998</v>
      </c>
      <c r="C8" s="32">
        <f t="shared" ref="C8:F8" si="1">C6-C7</f>
        <v>634402.43752500007</v>
      </c>
      <c r="D8" s="32">
        <f t="shared" si="1"/>
        <v>723333.08552399999</v>
      </c>
      <c r="E8" s="32">
        <f t="shared" si="1"/>
        <v>817366.38664211996</v>
      </c>
      <c r="F8" s="32">
        <f t="shared" si="1"/>
        <v>915305.68642206967</v>
      </c>
    </row>
    <row r="9" spans="1:6" x14ac:dyDescent="0.25">
      <c r="A9" s="47" t="s">
        <v>80</v>
      </c>
      <c r="B9" s="64">
        <f>B6*'01_Assumptions'!B26</f>
        <v>531426.09749999992</v>
      </c>
      <c r="C9" s="64">
        <f>C6*'01_Assumptions'!C26</f>
        <v>580106.73341250001</v>
      </c>
      <c r="D9" s="64">
        <f>D6*'01_Assumptions'!D26</f>
        <v>626458.11871274991</v>
      </c>
      <c r="E9" s="64">
        <f>E6*'01_Assumptions'!E26</f>
        <v>669083.10410970007</v>
      </c>
      <c r="F9" s="64">
        <f>F6*'01_Assumptions'!F26</f>
        <v>706551.75793984323</v>
      </c>
    </row>
    <row r="10" spans="1:6" x14ac:dyDescent="0.25">
      <c r="A10" s="31" t="s">
        <v>81</v>
      </c>
      <c r="B10" s="32">
        <f>B8-B9</f>
        <v>20053.815000000061</v>
      </c>
      <c r="C10" s="32">
        <f t="shared" ref="C10:F10" si="2">C8-C9</f>
        <v>54295.704112500069</v>
      </c>
      <c r="D10" s="32">
        <f t="shared" si="2"/>
        <v>96874.96681125008</v>
      </c>
      <c r="E10" s="32">
        <f t="shared" si="2"/>
        <v>148283.28253241989</v>
      </c>
      <c r="F10" s="32">
        <f t="shared" si="2"/>
        <v>208753.92848222645</v>
      </c>
    </row>
    <row r="11" spans="1:6" x14ac:dyDescent="0.25">
      <c r="A11" s="33" t="s">
        <v>82</v>
      </c>
      <c r="B11" s="73">
        <f>'02_Historical_IS_BS_CF'!$F$10</f>
        <v>8379</v>
      </c>
      <c r="C11" s="73">
        <f>'02_Historical_IS_BS_CF'!$F$10</f>
        <v>8379</v>
      </c>
      <c r="D11" s="73">
        <f>'02_Historical_IS_BS_CF'!$F$10</f>
        <v>8379</v>
      </c>
      <c r="E11" s="73">
        <f>'02_Historical_IS_BS_CF'!$F$10</f>
        <v>8379</v>
      </c>
      <c r="F11" s="73">
        <f>'02_Historical_IS_BS_CF'!$F$10</f>
        <v>8379</v>
      </c>
    </row>
    <row r="12" spans="1:6" x14ac:dyDescent="0.25">
      <c r="A12" s="33" t="s">
        <v>83</v>
      </c>
      <c r="B12" s="64">
        <f>B10+B11</f>
        <v>28432.815000000061</v>
      </c>
      <c r="C12" s="64">
        <f t="shared" ref="C12:F12" si="3">C10+C11</f>
        <v>62674.704112500069</v>
      </c>
      <c r="D12" s="64">
        <f t="shared" si="3"/>
        <v>105253.96681125008</v>
      </c>
      <c r="E12" s="64">
        <f t="shared" si="3"/>
        <v>156662.28253241989</v>
      </c>
      <c r="F12" s="64">
        <f t="shared" si="3"/>
        <v>217132.92848222645</v>
      </c>
    </row>
    <row r="13" spans="1:6" ht="15.75" thickBot="1" x14ac:dyDescent="0.3">
      <c r="A13" s="86" t="s">
        <v>84</v>
      </c>
      <c r="B13" s="77">
        <f>IF(B12&lt;=0,0,B12*'01_Assumptions'!B27)</f>
        <v>1421.6407500000032</v>
      </c>
      <c r="C13" s="77">
        <f>IF(C12&lt;=0,0,C12*'01_Assumptions'!C27)</f>
        <v>5484.0366098437553</v>
      </c>
      <c r="D13" s="77">
        <f>IF(D12&lt;=0,0,D12*'01_Assumptions'!D27)</f>
        <v>13156.74585140626</v>
      </c>
      <c r="E13" s="77">
        <f>IF(E12&lt;=0,0,E12*'01_Assumptions'!E27)</f>
        <v>25457.620911518232</v>
      </c>
      <c r="F13" s="77">
        <f>IF(F12&lt;=0,0,F12*'01_Assumptions'!F27)</f>
        <v>43426.585696445291</v>
      </c>
    </row>
    <row r="14" spans="1:6" ht="15.75" thickTop="1" x14ac:dyDescent="0.25">
      <c r="A14" s="48" t="s">
        <v>85</v>
      </c>
      <c r="B14" s="49">
        <f>B12-B13</f>
        <v>27011.174250000058</v>
      </c>
      <c r="C14" s="49">
        <f t="shared" ref="C14:F14" si="4">C12-C13</f>
        <v>57190.667502656317</v>
      </c>
      <c r="D14" s="49">
        <f t="shared" si="4"/>
        <v>92097.22095984382</v>
      </c>
      <c r="E14" s="49">
        <f t="shared" si="4"/>
        <v>131204.66162090166</v>
      </c>
      <c r="F14" s="49">
        <f t="shared" si="4"/>
        <v>173706.34278578116</v>
      </c>
    </row>
  </sheetData>
  <conditionalFormatting sqref="A6:F14">
    <cfRule type="expression" dxfId="28" priority="2">
      <formula>"ISEVEN(ROW())"</formula>
    </cfRule>
  </conditionalFormatting>
  <conditionalFormatting sqref="A6:F13">
    <cfRule type="expression" dxfId="27" priority="1">
      <formula>ISEVEN(ROW())</formula>
    </cfRule>
  </conditionalFormatting>
  <pageMargins left="0.7" right="0.7" top="0.75" bottom="0.75" header="0.3" footer="0.3"/>
  <ignoredErrors>
    <ignoredError sqref="B9 C9:F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showGridLines="0" workbookViewId="0">
      <pane ySplit="6" topLeftCell="A7" activePane="bottomLeft" state="frozen"/>
      <selection pane="bottomLeft" activeCell="L36" sqref="L36"/>
    </sheetView>
  </sheetViews>
  <sheetFormatPr defaultRowHeight="15" x14ac:dyDescent="0.25"/>
  <cols>
    <col min="1" max="1" width="67.7109375" bestFit="1" customWidth="1"/>
    <col min="2" max="3" width="12.7109375" style="8" customWidth="1"/>
    <col min="4" max="4" width="12.85546875" style="8" customWidth="1"/>
    <col min="5" max="6" width="12.7109375" style="8" customWidth="1"/>
  </cols>
  <sheetData>
    <row r="1" spans="1:6" ht="30" customHeight="1" x14ac:dyDescent="0.3">
      <c r="A1" s="26" t="s">
        <v>166</v>
      </c>
    </row>
    <row r="3" spans="1:6" x14ac:dyDescent="0.25">
      <c r="A3" s="1" t="s">
        <v>157</v>
      </c>
      <c r="B3" s="81" t="str">
        <f>'00_Control_Panel'!C4</f>
        <v>Best</v>
      </c>
    </row>
    <row r="5" spans="1:6" ht="15.75" x14ac:dyDescent="0.25">
      <c r="A5" s="22" t="s">
        <v>164</v>
      </c>
    </row>
    <row r="6" spans="1:6" x14ac:dyDescent="0.25">
      <c r="A6" s="84" t="s">
        <v>76</v>
      </c>
      <c r="B6" s="85">
        <v>2026</v>
      </c>
      <c r="C6" s="85">
        <f>B6+1</f>
        <v>2027</v>
      </c>
      <c r="D6" s="85">
        <f t="shared" ref="D6:F6" si="0">C6+1</f>
        <v>2028</v>
      </c>
      <c r="E6" s="85">
        <f t="shared" si="0"/>
        <v>2029</v>
      </c>
      <c r="F6" s="85">
        <f t="shared" si="0"/>
        <v>2030</v>
      </c>
    </row>
    <row r="7" spans="1:6" x14ac:dyDescent="0.25">
      <c r="A7" s="37" t="s">
        <v>94</v>
      </c>
      <c r="B7" s="106">
        <f>'05_Forecast_CF'!B20</f>
        <v>329036.08386301377</v>
      </c>
      <c r="C7" s="106">
        <f>'05_Forecast_CF'!C20</f>
        <v>402939.88923195435</v>
      </c>
      <c r="D7" s="106">
        <f>'05_Forecast_CF'!D20</f>
        <v>512393.80657305883</v>
      </c>
      <c r="E7" s="106">
        <f>'05_Forecast_CF'!E20</f>
        <v>661196.97814655758</v>
      </c>
      <c r="F7" s="106">
        <f>'05_Forecast_CF'!F20</f>
        <v>852252.61361871799</v>
      </c>
    </row>
    <row r="8" spans="1:6" x14ac:dyDescent="0.25">
      <c r="A8" s="59" t="s">
        <v>95</v>
      </c>
      <c r="B8" s="104">
        <f>'06_Supporting_Schedules'!B7</f>
        <v>3296.5175342465745</v>
      </c>
      <c r="C8" s="105">
        <f>'06_Supporting_Schedules'!C7</f>
        <v>3758.0299890410956</v>
      </c>
      <c r="D8" s="104">
        <f>'06_Supporting_Schedules'!D7</f>
        <v>4246.5738876164378</v>
      </c>
      <c r="E8" s="105">
        <f>'06_Supporting_Schedules'!E7</f>
        <v>4756.1627541304106</v>
      </c>
      <c r="F8" s="104">
        <f>'06_Supporting_Schedules'!F7</f>
        <v>5279.3406570847574</v>
      </c>
    </row>
    <row r="9" spans="1:6" x14ac:dyDescent="0.25">
      <c r="A9" s="37" t="s">
        <v>96</v>
      </c>
      <c r="B9" s="106">
        <f>'06_Supporting_Schedules'!B8</f>
        <v>46975.374863013691</v>
      </c>
      <c r="C9" s="107">
        <f>'06_Supporting_Schedules'!C8</f>
        <v>48776.097566095887</v>
      </c>
      <c r="D9" s="106">
        <f>'06_Supporting_Schedules'!D8</f>
        <v>49826.466948032867</v>
      </c>
      <c r="E9" s="107">
        <f>'06_Supporting_Schedules'!E8</f>
        <v>49999.160952795952</v>
      </c>
      <c r="F9" s="106">
        <f>'06_Supporting_Schedules'!F8</f>
        <v>49185.857121839654</v>
      </c>
    </row>
    <row r="10" spans="1:6" x14ac:dyDescent="0.25">
      <c r="A10" s="59" t="s">
        <v>97</v>
      </c>
      <c r="B10" s="104">
        <f>'02_Historical_IS_BS_CF'!$F$31</f>
        <v>18283</v>
      </c>
      <c r="C10" s="105">
        <f>'02_Historical_IS_BS_CF'!$F$31</f>
        <v>18283</v>
      </c>
      <c r="D10" s="104">
        <f>'02_Historical_IS_BS_CF'!$F$31</f>
        <v>18283</v>
      </c>
      <c r="E10" s="105">
        <f>'02_Historical_IS_BS_CF'!$F$31</f>
        <v>18283</v>
      </c>
      <c r="F10" s="104">
        <f>'02_Historical_IS_BS_CF'!$F$31</f>
        <v>18283</v>
      </c>
    </row>
    <row r="11" spans="1:6" x14ac:dyDescent="0.25">
      <c r="A11" s="60" t="s">
        <v>98</v>
      </c>
      <c r="B11" s="103">
        <f>B7+B8+B9+B10</f>
        <v>397590.97626027401</v>
      </c>
      <c r="C11" s="103">
        <f t="shared" ref="C11:F11" si="1">C7+C8+C9+C10</f>
        <v>473757.01678709133</v>
      </c>
      <c r="D11" s="103">
        <f t="shared" si="1"/>
        <v>584749.84740870818</v>
      </c>
      <c r="E11" s="103">
        <f t="shared" si="1"/>
        <v>734235.30185348401</v>
      </c>
      <c r="F11" s="103">
        <f t="shared" si="1"/>
        <v>925000.81139764236</v>
      </c>
    </row>
    <row r="12" spans="1:6" x14ac:dyDescent="0.25">
      <c r="A12" s="59" t="s">
        <v>99</v>
      </c>
      <c r="B12" s="104">
        <f>'06_Supporting_Schedules'!B17</f>
        <v>206499.12425000002</v>
      </c>
      <c r="C12" s="105">
        <f>'06_Supporting_Schedules'!C17</f>
        <v>227360.10530375</v>
      </c>
      <c r="D12" s="104">
        <f>'06_Supporting_Schedules'!D17</f>
        <v>249964.26422637497</v>
      </c>
      <c r="E12" s="105">
        <f>'06_Supporting_Schedules'!E17</f>
        <v>274195.92259142897</v>
      </c>
      <c r="F12" s="104">
        <f>'06_Supporting_Schedules'!F17</f>
        <v>299888.71378924145</v>
      </c>
    </row>
    <row r="13" spans="1:6" x14ac:dyDescent="0.25">
      <c r="A13" s="37" t="s">
        <v>100</v>
      </c>
      <c r="B13" s="106">
        <f>'02_Historical_IS_BS_CF'!$F$34</f>
        <v>170805</v>
      </c>
      <c r="C13" s="107">
        <f>'02_Historical_IS_BS_CF'!$F$34</f>
        <v>170805</v>
      </c>
      <c r="D13" s="106">
        <f>'02_Historical_IS_BS_CF'!$F$34</f>
        <v>170805</v>
      </c>
      <c r="E13" s="107">
        <f>'02_Historical_IS_BS_CF'!$F$34</f>
        <v>170805</v>
      </c>
      <c r="F13" s="106">
        <f>'02_Historical_IS_BS_CF'!$F$34</f>
        <v>170805</v>
      </c>
    </row>
    <row r="14" spans="1:6" x14ac:dyDescent="0.25">
      <c r="A14" s="59" t="s">
        <v>101</v>
      </c>
      <c r="B14" s="104">
        <f>'02_Historical_IS_BS_CF'!$F$35</f>
        <v>10228</v>
      </c>
      <c r="C14" s="105">
        <f>'02_Historical_IS_BS_CF'!$F$35</f>
        <v>10228</v>
      </c>
      <c r="D14" s="104">
        <f>'02_Historical_IS_BS_CF'!$F$35</f>
        <v>10228</v>
      </c>
      <c r="E14" s="105">
        <f>'02_Historical_IS_BS_CF'!$F$35</f>
        <v>10228</v>
      </c>
      <c r="F14" s="104">
        <f>'02_Historical_IS_BS_CF'!$F$35</f>
        <v>10228</v>
      </c>
    </row>
    <row r="15" spans="1:6" x14ac:dyDescent="0.25">
      <c r="A15" s="60" t="s">
        <v>102</v>
      </c>
      <c r="B15" s="103">
        <f>B11+B12+B13+B14</f>
        <v>785123.10051027406</v>
      </c>
      <c r="C15" s="108">
        <f t="shared" ref="C15:F15" si="2">C11+C12+C13+C14</f>
        <v>882150.12209084129</v>
      </c>
      <c r="D15" s="103">
        <f t="shared" si="2"/>
        <v>1015747.1116350831</v>
      </c>
      <c r="E15" s="108">
        <f t="shared" si="2"/>
        <v>1189464.224444913</v>
      </c>
      <c r="F15" s="103">
        <f t="shared" si="2"/>
        <v>1405922.5251868838</v>
      </c>
    </row>
    <row r="17" spans="1:6" ht="15.75" x14ac:dyDescent="0.25">
      <c r="A17" s="22" t="s">
        <v>165</v>
      </c>
    </row>
    <row r="18" spans="1:6" x14ac:dyDescent="0.25">
      <c r="A18" s="111" t="s">
        <v>76</v>
      </c>
      <c r="B18" s="85">
        <v>2026</v>
      </c>
      <c r="C18" s="114">
        <f>B18+1</f>
        <v>2027</v>
      </c>
      <c r="D18" s="85">
        <f t="shared" ref="D18:F18" si="3">C18+1</f>
        <v>2028</v>
      </c>
      <c r="E18" s="110">
        <f t="shared" si="3"/>
        <v>2029</v>
      </c>
      <c r="F18" s="110">
        <f t="shared" si="3"/>
        <v>2030</v>
      </c>
    </row>
    <row r="19" spans="1:6" x14ac:dyDescent="0.25">
      <c r="A19" s="33" t="s">
        <v>103</v>
      </c>
      <c r="B19" s="106">
        <f>'06_Supporting_Schedules'!B9</f>
        <v>37085.82226027397</v>
      </c>
      <c r="C19" s="107">
        <f>'06_Supporting_Schedules'!C9</f>
        <v>43201.686415684933</v>
      </c>
      <c r="D19" s="106">
        <f>'06_Supporting_Schedules'!D9</f>
        <v>49826.466948032867</v>
      </c>
      <c r="E19" s="120">
        <f>'06_Supporting_Schedules'!E9</f>
        <v>56895.596946285048</v>
      </c>
      <c r="F19" s="120">
        <f>'06_Supporting_Schedules'!F9</f>
        <v>64319.96700548262</v>
      </c>
    </row>
    <row r="20" spans="1:6" x14ac:dyDescent="0.25">
      <c r="A20" s="121" t="s">
        <v>104</v>
      </c>
      <c r="B20" s="104">
        <f>'02_Historical_IS_BS_CF'!$F$38</f>
        <v>49225</v>
      </c>
      <c r="C20" s="105">
        <f>'02_Historical_IS_BS_CF'!$F$38</f>
        <v>49225</v>
      </c>
      <c r="D20" s="104">
        <f>'02_Historical_IS_BS_CF'!$F$38</f>
        <v>49225</v>
      </c>
      <c r="E20" s="115">
        <f>'02_Historical_IS_BS_CF'!$F$38</f>
        <v>49225</v>
      </c>
      <c r="F20" s="115">
        <f>'02_Historical_IS_BS_CF'!$F$38</f>
        <v>49225</v>
      </c>
    </row>
    <row r="21" spans="1:6" x14ac:dyDescent="0.25">
      <c r="A21" s="33" t="s">
        <v>105</v>
      </c>
      <c r="B21" s="106">
        <f>'02_Historical_IS_BS_CF'!$F$39</f>
        <v>33869</v>
      </c>
      <c r="C21" s="107">
        <f>'02_Historical_IS_BS_CF'!$F$39</f>
        <v>33869</v>
      </c>
      <c r="D21" s="106">
        <f>'02_Historical_IS_BS_CF'!$F$39</f>
        <v>33869</v>
      </c>
      <c r="E21" s="120">
        <f>'02_Historical_IS_BS_CF'!$F$39</f>
        <v>33869</v>
      </c>
      <c r="F21" s="120">
        <f>'02_Historical_IS_BS_CF'!$F$39</f>
        <v>33869</v>
      </c>
    </row>
    <row r="22" spans="1:6" x14ac:dyDescent="0.25">
      <c r="A22" s="33" t="s">
        <v>106</v>
      </c>
      <c r="B22" s="106">
        <f>'02_Historical_IS_BS_CF'!$F$40</f>
        <v>31399</v>
      </c>
      <c r="C22" s="107">
        <f>'02_Historical_IS_BS_CF'!$F$40</f>
        <v>31399</v>
      </c>
      <c r="D22" s="106">
        <f>'02_Historical_IS_BS_CF'!$F$40</f>
        <v>31399</v>
      </c>
      <c r="E22" s="120">
        <f>'02_Historical_IS_BS_CF'!$F$40</f>
        <v>31399</v>
      </c>
      <c r="F22" s="120">
        <f>'02_Historical_IS_BS_CF'!$F$40</f>
        <v>31399</v>
      </c>
    </row>
    <row r="23" spans="1:6" x14ac:dyDescent="0.25">
      <c r="A23" s="33" t="s">
        <v>107</v>
      </c>
      <c r="B23" s="106">
        <f>'02_Historical_IS_BS_CF'!$F$41</f>
        <v>3658</v>
      </c>
      <c r="C23" s="107">
        <f>'02_Historical_IS_BS_CF'!$F$41</f>
        <v>3658</v>
      </c>
      <c r="D23" s="106">
        <f>'02_Historical_IS_BS_CF'!$F$41</f>
        <v>3658</v>
      </c>
      <c r="E23" s="120">
        <f>'02_Historical_IS_BS_CF'!$F$41</f>
        <v>3658</v>
      </c>
      <c r="F23" s="120">
        <f>'02_Historical_IS_BS_CF'!$F$41</f>
        <v>3658</v>
      </c>
    </row>
    <row r="24" spans="1:6" x14ac:dyDescent="0.25">
      <c r="A24" s="31" t="s">
        <v>108</v>
      </c>
      <c r="B24" s="103">
        <f>SUM(B19:B23)</f>
        <v>155236.82226027397</v>
      </c>
      <c r="C24" s="108">
        <f t="shared" ref="C24:F24" si="4">SUM(C19:C23)</f>
        <v>161352.68641568493</v>
      </c>
      <c r="D24" s="103">
        <f t="shared" si="4"/>
        <v>167977.46694803287</v>
      </c>
      <c r="E24" s="118">
        <f t="shared" si="4"/>
        <v>175046.59694628505</v>
      </c>
      <c r="F24" s="118">
        <f t="shared" si="4"/>
        <v>182470.96700548261</v>
      </c>
    </row>
    <row r="25" spans="1:6" x14ac:dyDescent="0.25">
      <c r="A25" s="33" t="s">
        <v>109</v>
      </c>
      <c r="B25" s="106">
        <f>'02_Historical_IS_BS_CF'!$F$43</f>
        <v>201749</v>
      </c>
      <c r="C25" s="107">
        <f>'02_Historical_IS_BS_CF'!$F$43</f>
        <v>201749</v>
      </c>
      <c r="D25" s="106">
        <f>'02_Historical_IS_BS_CF'!$F$43</f>
        <v>201749</v>
      </c>
      <c r="E25" s="120">
        <f>'02_Historical_IS_BS_CF'!$F$43</f>
        <v>201749</v>
      </c>
      <c r="F25" s="120">
        <f>'02_Historical_IS_BS_CF'!$F$43</f>
        <v>201749</v>
      </c>
    </row>
    <row r="26" spans="1:6" x14ac:dyDescent="0.25">
      <c r="A26" s="33" t="s">
        <v>110</v>
      </c>
      <c r="B26" s="106">
        <f>'02_Historical_IS_BS_CF'!$F$44</f>
        <v>0</v>
      </c>
      <c r="C26" s="107">
        <f>'02_Historical_IS_BS_CF'!$F$44</f>
        <v>0</v>
      </c>
      <c r="D26" s="106">
        <f>'02_Historical_IS_BS_CF'!$F$44</f>
        <v>0</v>
      </c>
      <c r="E26" s="120">
        <f>'02_Historical_IS_BS_CF'!$F$44</f>
        <v>0</v>
      </c>
      <c r="F26" s="120">
        <f>'02_Historical_IS_BS_CF'!$F$44</f>
        <v>0</v>
      </c>
    </row>
    <row r="27" spans="1:6" x14ac:dyDescent="0.25">
      <c r="A27" s="122" t="s">
        <v>111</v>
      </c>
      <c r="B27" s="109">
        <f>'02_Historical_IS_BS_CF'!$F$45</f>
        <v>1310</v>
      </c>
      <c r="C27" s="119">
        <f>'02_Historical_IS_BS_CF'!$F$45</f>
        <v>1310</v>
      </c>
      <c r="D27" s="109">
        <f>'02_Historical_IS_BS_CF'!$F$45</f>
        <v>1310</v>
      </c>
      <c r="E27" s="116">
        <f>'02_Historical_IS_BS_CF'!$F$45</f>
        <v>1310</v>
      </c>
      <c r="F27" s="116">
        <f>'02_Historical_IS_BS_CF'!$F$45</f>
        <v>1310</v>
      </c>
    </row>
    <row r="28" spans="1:6" x14ac:dyDescent="0.25">
      <c r="A28" s="31" t="s">
        <v>112</v>
      </c>
      <c r="B28" s="103">
        <f>B24+B25+B26+B27</f>
        <v>358295.82226027397</v>
      </c>
      <c r="C28" s="108">
        <f t="shared" ref="C28:E28" si="5">C24+C25+C26+C27</f>
        <v>364411.68641568493</v>
      </c>
      <c r="D28" s="103">
        <f t="shared" si="5"/>
        <v>371036.46694803284</v>
      </c>
      <c r="E28" s="118">
        <f t="shared" si="5"/>
        <v>378105.59694628505</v>
      </c>
      <c r="F28" s="118">
        <f>F24+F25+F26+F27</f>
        <v>385529.96700548264</v>
      </c>
    </row>
    <row r="29" spans="1:6" x14ac:dyDescent="0.25">
      <c r="A29" s="33" t="s">
        <v>113</v>
      </c>
      <c r="B29" s="106">
        <f>'02_Historical_IS_BS_CF'!$F$47</f>
        <v>12</v>
      </c>
      <c r="C29" s="107">
        <f>'02_Historical_IS_BS_CF'!$F$47</f>
        <v>12</v>
      </c>
      <c r="D29" s="106">
        <f>'02_Historical_IS_BS_CF'!$F$47</f>
        <v>12</v>
      </c>
      <c r="E29" s="120">
        <f>'02_Historical_IS_BS_CF'!$F$47</f>
        <v>12</v>
      </c>
      <c r="F29" s="120">
        <f>'02_Historical_IS_BS_CF'!$F$47</f>
        <v>12</v>
      </c>
    </row>
    <row r="30" spans="1:6" x14ac:dyDescent="0.25">
      <c r="A30" s="33" t="s">
        <v>114</v>
      </c>
      <c r="B30" s="109">
        <f>('02_Historical_IS_BS_CF'!$F$48)+'05_Forecast_CF'!B9</f>
        <v>1086865.1040000001</v>
      </c>
      <c r="C30" s="109">
        <f>B30+'05_Forecast_CF'!C9</f>
        <v>1120585.5939225</v>
      </c>
      <c r="D30" s="109">
        <f>C30+'05_Forecast_CF'!D9</f>
        <v>1155460.5819745499</v>
      </c>
      <c r="E30" s="109">
        <f>D30+'05_Forecast_CF'!E9</f>
        <v>1190903.9031652259</v>
      </c>
      <c r="F30" s="109">
        <f>E30+'05_Forecast_CF'!F9</f>
        <v>1226231.4910622181</v>
      </c>
    </row>
    <row r="31" spans="1:6" x14ac:dyDescent="0.25">
      <c r="A31" s="33" t="s">
        <v>115</v>
      </c>
      <c r="B31" s="129">
        <f>'02_Historical_IS_BS_CF'!F49+'03_Forecast_IS'!B14</f>
        <v>-658568.82574999996</v>
      </c>
      <c r="C31" s="130">
        <f>B31+'03_Forecast_IS'!C14</f>
        <v>-601378.15824734361</v>
      </c>
      <c r="D31" s="129">
        <f>C31+'03_Forecast_IS'!D14</f>
        <v>-509280.93728749978</v>
      </c>
      <c r="E31" s="131">
        <f>D31+'03_Forecast_IS'!E14</f>
        <v>-378076.27566659811</v>
      </c>
      <c r="F31" s="131">
        <f>E31+'03_Forecast_IS'!F14</f>
        <v>-204369.93288081695</v>
      </c>
    </row>
    <row r="32" spans="1:6" x14ac:dyDescent="0.25">
      <c r="A32" s="122" t="s">
        <v>116</v>
      </c>
      <c r="B32" s="109">
        <f>'02_Historical_IS_BS_CF'!$F$50</f>
        <v>-1481</v>
      </c>
      <c r="C32" s="119">
        <f>'02_Historical_IS_BS_CF'!$F$50</f>
        <v>-1481</v>
      </c>
      <c r="D32" s="109">
        <f>'02_Historical_IS_BS_CF'!$F$50</f>
        <v>-1481</v>
      </c>
      <c r="E32" s="106">
        <f>'02_Historical_IS_BS_CF'!$F$50</f>
        <v>-1481</v>
      </c>
      <c r="F32" s="116">
        <f>'02_Historical_IS_BS_CF'!$F$50</f>
        <v>-1481</v>
      </c>
    </row>
    <row r="33" spans="1:6" ht="15.75" thickBot="1" x14ac:dyDescent="0.3">
      <c r="A33" s="112" t="s">
        <v>117</v>
      </c>
      <c r="B33" s="113">
        <f>SUM(B29:B32)</f>
        <v>426827.27825000009</v>
      </c>
      <c r="C33" s="123">
        <f t="shared" ref="C33:F33" si="6">SUM(C29:C32)</f>
        <v>517738.43567515642</v>
      </c>
      <c r="D33" s="117">
        <f t="shared" si="6"/>
        <v>644710.64468705014</v>
      </c>
      <c r="E33" s="113">
        <f t="shared" si="6"/>
        <v>811358.62749862776</v>
      </c>
      <c r="F33" s="117">
        <f t="shared" si="6"/>
        <v>1020392.5581814011</v>
      </c>
    </row>
    <row r="34" spans="1:6" ht="15.75" thickTop="1" x14ac:dyDescent="0.25">
      <c r="A34" s="96" t="s">
        <v>118</v>
      </c>
      <c r="B34" s="124">
        <f>B28+B33</f>
        <v>785123.10051027406</v>
      </c>
      <c r="C34" s="125">
        <f t="shared" ref="C34:F34" si="7">C28+C33</f>
        <v>882150.12209084141</v>
      </c>
      <c r="D34" s="125">
        <f t="shared" si="7"/>
        <v>1015747.111635083</v>
      </c>
      <c r="E34" s="125">
        <f t="shared" si="7"/>
        <v>1189464.2244449127</v>
      </c>
      <c r="F34" s="124">
        <f t="shared" si="7"/>
        <v>1405922.5251868838</v>
      </c>
    </row>
    <row r="36" spans="1:6" x14ac:dyDescent="0.25">
      <c r="A36" s="79" t="s">
        <v>176</v>
      </c>
      <c r="B36" s="24">
        <f>B15-B34</f>
        <v>0</v>
      </c>
      <c r="C36" s="24">
        <f t="shared" ref="C36:F36" si="8">C15-C34</f>
        <v>0</v>
      </c>
      <c r="D36" s="24">
        <f t="shared" si="8"/>
        <v>0</v>
      </c>
      <c r="E36" s="24">
        <f t="shared" si="8"/>
        <v>0</v>
      </c>
      <c r="F36" s="24">
        <f t="shared" si="8"/>
        <v>0</v>
      </c>
    </row>
  </sheetData>
  <conditionalFormatting sqref="B36:F36">
    <cfRule type="cellIs" dxfId="26" priority="3" operator="notEqual">
      <formula>0</formula>
    </cfRule>
  </conditionalFormatting>
  <conditionalFormatting sqref="A7:F15">
    <cfRule type="expression" dxfId="25" priority="2">
      <formula>ISEVEN(ROW())</formula>
    </cfRule>
  </conditionalFormatting>
  <conditionalFormatting sqref="A19:F33">
    <cfRule type="expression" dxfId="24" priority="1">
      <formula>ISEVEN(ROW())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showGridLines="0" workbookViewId="0">
      <pane ySplit="6" topLeftCell="A7" activePane="bottomLeft" state="frozen"/>
      <selection pane="bottomLeft" activeCell="B16" sqref="B16"/>
    </sheetView>
  </sheetViews>
  <sheetFormatPr defaultRowHeight="15" x14ac:dyDescent="0.25"/>
  <cols>
    <col min="1" max="1" width="75.85546875" bestFit="1" customWidth="1"/>
    <col min="2" max="6" width="12.7109375" style="8" customWidth="1"/>
    <col min="7" max="7" width="3.42578125" customWidth="1"/>
    <col min="8" max="8" width="34" customWidth="1"/>
  </cols>
  <sheetData>
    <row r="1" spans="1:8" ht="30" customHeight="1" x14ac:dyDescent="0.3">
      <c r="A1" s="26" t="s">
        <v>167</v>
      </c>
    </row>
    <row r="3" spans="1:8" x14ac:dyDescent="0.25">
      <c r="A3" s="1" t="s">
        <v>157</v>
      </c>
      <c r="B3" s="81" t="str">
        <f>'00_Control_Panel'!C4</f>
        <v>Best</v>
      </c>
    </row>
    <row r="6" spans="1:8" x14ac:dyDescent="0.25">
      <c r="A6" s="84" t="s">
        <v>76</v>
      </c>
      <c r="B6" s="85">
        <v>2026</v>
      </c>
      <c r="C6" s="85">
        <f>B6+1</f>
        <v>2027</v>
      </c>
      <c r="D6" s="85">
        <f t="shared" ref="D6:F6" si="0">C6+1</f>
        <v>2028</v>
      </c>
      <c r="E6" s="85">
        <f t="shared" si="0"/>
        <v>2029</v>
      </c>
      <c r="F6" s="85">
        <f t="shared" si="0"/>
        <v>2030</v>
      </c>
    </row>
    <row r="7" spans="1:8" x14ac:dyDescent="0.25">
      <c r="A7" s="37" t="s">
        <v>85</v>
      </c>
      <c r="B7" s="73">
        <f>'03_Forecast_IS'!B14</f>
        <v>27011.174250000058</v>
      </c>
      <c r="C7" s="132">
        <f>'03_Forecast_IS'!C14</f>
        <v>57190.667502656317</v>
      </c>
      <c r="D7" s="73">
        <f>'03_Forecast_IS'!D14</f>
        <v>92097.22095984382</v>
      </c>
      <c r="E7" s="133">
        <f>'03_Forecast_IS'!E14</f>
        <v>131204.66162090166</v>
      </c>
      <c r="F7" s="72">
        <f>'03_Forecast_IS'!F14</f>
        <v>173706.34278578116</v>
      </c>
    </row>
    <row r="8" spans="1:8" x14ac:dyDescent="0.25">
      <c r="A8" s="59" t="s">
        <v>131</v>
      </c>
      <c r="B8" s="134">
        <f>'06_Supporting_Schedules'!B16</f>
        <v>56150.681999999993</v>
      </c>
      <c r="C8" s="74">
        <f>'06_Supporting_Schedules'!C16</f>
        <v>63440.243752500006</v>
      </c>
      <c r="D8" s="134">
        <f>'06_Supporting_Schedules'!D16</f>
        <v>71041.642328249989</v>
      </c>
      <c r="E8" s="74">
        <f>'06_Supporting_Schedules'!E16</f>
        <v>78843.306322115997</v>
      </c>
      <c r="F8" s="73">
        <f>'06_Supporting_Schedules'!F16</f>
        <v>86713.170292617127</v>
      </c>
    </row>
    <row r="9" spans="1:8" x14ac:dyDescent="0.25">
      <c r="A9" s="37" t="s">
        <v>132</v>
      </c>
      <c r="B9" s="64">
        <f>'03_Forecast_IS'!B6*'01_Assumptions'!B33</f>
        <v>32086.103999999996</v>
      </c>
      <c r="C9" s="70">
        <f>'03_Forecast_IS'!C6*'01_Assumptions'!C33</f>
        <v>33720.489922499997</v>
      </c>
      <c r="D9" s="64">
        <f>'03_Forecast_IS'!D6*'01_Assumptions'!D33</f>
        <v>34874.988052049994</v>
      </c>
      <c r="E9" s="64">
        <f>'03_Forecast_IS'!E6*'01_Assumptions'!E33</f>
        <v>35443.321190676004</v>
      </c>
      <c r="F9" s="63">
        <f>'03_Forecast_IS'!F6*'01_Assumptions'!F33</f>
        <v>35327.587896992161</v>
      </c>
    </row>
    <row r="10" spans="1:8" x14ac:dyDescent="0.25">
      <c r="A10" s="59" t="s">
        <v>168</v>
      </c>
      <c r="B10" s="63">
        <f>-('04_Forecast_BS'!B8-'02_Historical_IS_BS_CF'!F29)</f>
        <v>-11.517534246574542</v>
      </c>
      <c r="C10" s="69">
        <f>-('04_Forecast_BS'!C8-'04_Forecast_BS'!B8)</f>
        <v>-461.51245479452109</v>
      </c>
      <c r="D10" s="63">
        <f>-('04_Forecast_BS'!D8-'04_Forecast_BS'!C8)</f>
        <v>-488.54389857534215</v>
      </c>
      <c r="E10" s="69">
        <f>-('04_Forecast_BS'!E8-'04_Forecast_BS'!D8)</f>
        <v>-509.58886651397279</v>
      </c>
      <c r="F10" s="64">
        <f>-('04_Forecast_BS'!F8-'04_Forecast_BS'!E8)</f>
        <v>-523.17790295434679</v>
      </c>
    </row>
    <row r="11" spans="1:8" x14ac:dyDescent="0.25">
      <c r="A11" s="37" t="s">
        <v>169</v>
      </c>
      <c r="B11" s="64">
        <f>-('04_Forecast_BS'!B9-'02_Historical_IS_BS_CF'!F30)</f>
        <v>-2463.3748630136906</v>
      </c>
      <c r="C11" s="101">
        <f>-('04_Forecast_BS'!C9-'04_Forecast_BS'!B9)</f>
        <v>-1800.7227030821959</v>
      </c>
      <c r="D11" s="64">
        <f>-('04_Forecast_BS'!D9-'04_Forecast_BS'!C9)</f>
        <v>-1050.3693819369801</v>
      </c>
      <c r="E11" s="101">
        <f>-('04_Forecast_BS'!E9-'04_Forecast_BS'!D9)</f>
        <v>-172.6940047630851</v>
      </c>
      <c r="F11" s="63">
        <f>-('04_Forecast_BS'!F9-'04_Forecast_BS'!E9)</f>
        <v>813.30383095629804</v>
      </c>
    </row>
    <row r="12" spans="1:8" x14ac:dyDescent="0.25">
      <c r="A12" s="59" t="s">
        <v>170</v>
      </c>
      <c r="B12" s="63">
        <f>'04_Forecast_BS'!B19-'02_Historical_IS_BS_CF'!F37</f>
        <v>5106.8222602739697</v>
      </c>
      <c r="C12" s="69">
        <f>'04_Forecast_BS'!C19-'04_Forecast_BS'!B19</f>
        <v>6115.8641554109636</v>
      </c>
      <c r="D12" s="63">
        <f>'04_Forecast_BS'!D19-'04_Forecast_BS'!C19</f>
        <v>6624.7805323479333</v>
      </c>
      <c r="E12" s="69">
        <f>'04_Forecast_BS'!E19-'04_Forecast_BS'!D19</f>
        <v>7069.1299982521814</v>
      </c>
      <c r="F12" s="61">
        <f>'04_Forecast_BS'!F19-'04_Forecast_BS'!E19</f>
        <v>7424.3700591975721</v>
      </c>
    </row>
    <row r="13" spans="1:8" x14ac:dyDescent="0.25">
      <c r="A13" s="60" t="s">
        <v>171</v>
      </c>
      <c r="B13" s="32">
        <f>SUM(B7:B12)</f>
        <v>117879.89011301374</v>
      </c>
      <c r="C13" s="68">
        <f t="shared" ref="C13:F13" si="1">SUM(C7:C12)</f>
        <v>158205.03017519056</v>
      </c>
      <c r="D13" s="32">
        <f t="shared" si="1"/>
        <v>203099.71859197944</v>
      </c>
      <c r="E13" s="97">
        <f t="shared" si="1"/>
        <v>251878.13626066878</v>
      </c>
      <c r="F13" s="32">
        <f t="shared" si="1"/>
        <v>303461.59696259</v>
      </c>
    </row>
    <row r="14" spans="1:8" x14ac:dyDescent="0.25">
      <c r="A14" s="59" t="s">
        <v>172</v>
      </c>
      <c r="B14" s="63">
        <f>-'06_Supporting_Schedules'!B15</f>
        <v>-75201.806249999994</v>
      </c>
      <c r="C14" s="69">
        <f>-'06_Supporting_Schedules'!C15</f>
        <v>-84301.22480625</v>
      </c>
      <c r="D14" s="63">
        <f>-'06_Supporting_Schedules'!D15</f>
        <v>-93645.801250874982</v>
      </c>
      <c r="E14" s="69">
        <f>-'06_Supporting_Schedules'!E15</f>
        <v>-103074.96468717</v>
      </c>
      <c r="F14" s="63">
        <f>-'06_Supporting_Schedules'!F15</f>
        <v>-112405.96149042962</v>
      </c>
    </row>
    <row r="15" spans="1:8" x14ac:dyDescent="0.25">
      <c r="A15" s="60" t="s">
        <v>142</v>
      </c>
      <c r="B15" s="32">
        <f>B14</f>
        <v>-75201.806249999994</v>
      </c>
      <c r="C15" s="68">
        <f t="shared" ref="C15:F15" si="2">C14</f>
        <v>-84301.22480625</v>
      </c>
      <c r="D15" s="32">
        <f t="shared" si="2"/>
        <v>-93645.801250874982</v>
      </c>
      <c r="E15" s="97">
        <f t="shared" si="2"/>
        <v>-103074.96468717</v>
      </c>
      <c r="F15" s="32">
        <f t="shared" si="2"/>
        <v>-112405.96149042962</v>
      </c>
    </row>
    <row r="16" spans="1:8" x14ac:dyDescent="0.25">
      <c r="A16" s="59" t="s">
        <v>143</v>
      </c>
      <c r="B16" s="29">
        <v>0</v>
      </c>
      <c r="C16" s="66">
        <v>0</v>
      </c>
      <c r="D16" s="29">
        <v>0</v>
      </c>
      <c r="E16" s="66">
        <v>0</v>
      </c>
      <c r="F16" s="29">
        <v>0</v>
      </c>
      <c r="H16" s="126" t="s">
        <v>173</v>
      </c>
    </row>
    <row r="17" spans="1:6" x14ac:dyDescent="0.25">
      <c r="A17" s="60" t="s">
        <v>145</v>
      </c>
      <c r="B17" s="32">
        <f>B13+B15+B16</f>
        <v>42678.083863013744</v>
      </c>
      <c r="C17" s="68">
        <f t="shared" ref="C17:F17" si="3">C13+C15+C16</f>
        <v>73903.805368940564</v>
      </c>
      <c r="D17" s="32">
        <f t="shared" si="3"/>
        <v>109453.91734110446</v>
      </c>
      <c r="E17" s="97">
        <f t="shared" si="3"/>
        <v>148803.17157349878</v>
      </c>
      <c r="F17" s="32">
        <f t="shared" si="3"/>
        <v>191055.63547216039</v>
      </c>
    </row>
    <row r="18" spans="1:6" x14ac:dyDescent="0.25">
      <c r="A18" s="127" t="s">
        <v>174</v>
      </c>
      <c r="B18" s="73">
        <f>'02_Historical_IS_BS_CF'!F28</f>
        <v>286358</v>
      </c>
      <c r="C18" s="135">
        <f>B20</f>
        <v>329036.08386301377</v>
      </c>
      <c r="D18" s="136">
        <f t="shared" ref="D18:F18" si="4">C20</f>
        <v>402939.88923195435</v>
      </c>
      <c r="E18" s="137">
        <f t="shared" si="4"/>
        <v>512393.80657305883</v>
      </c>
      <c r="F18" s="138">
        <f t="shared" si="4"/>
        <v>661196.97814655758</v>
      </c>
    </row>
    <row r="19" spans="1:6" ht="15.75" thickBot="1" x14ac:dyDescent="0.3">
      <c r="A19" s="128"/>
      <c r="B19" s="77"/>
      <c r="C19" s="77"/>
      <c r="D19" s="77"/>
      <c r="E19" s="77"/>
      <c r="F19" s="77"/>
    </row>
    <row r="20" spans="1:6" ht="15.75" thickTop="1" x14ac:dyDescent="0.25">
      <c r="A20" s="48" t="s">
        <v>175</v>
      </c>
      <c r="B20" s="49">
        <f>B17+B18</f>
        <v>329036.08386301377</v>
      </c>
      <c r="C20" s="49">
        <f t="shared" ref="C20:F20" si="5">C17+C18</f>
        <v>402939.88923195435</v>
      </c>
      <c r="D20" s="49">
        <f t="shared" si="5"/>
        <v>512393.80657305883</v>
      </c>
      <c r="E20" s="49">
        <f t="shared" si="5"/>
        <v>661196.97814655758</v>
      </c>
      <c r="F20" s="49">
        <f t="shared" si="5"/>
        <v>852252.61361871799</v>
      </c>
    </row>
  </sheetData>
  <conditionalFormatting sqref="A8:F19">
    <cfRule type="expression" dxfId="23" priority="1">
      <formula>ISEVEN(ROW())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showGridLines="0" workbookViewId="0">
      <selection activeCell="M22" sqref="M22"/>
    </sheetView>
  </sheetViews>
  <sheetFormatPr defaultRowHeight="15" x14ac:dyDescent="0.25"/>
  <cols>
    <col min="1" max="1" width="65.7109375" bestFit="1" customWidth="1"/>
    <col min="2" max="4" width="12.7109375" style="8" customWidth="1"/>
    <col min="5" max="5" width="12.85546875" style="8" customWidth="1"/>
    <col min="6" max="6" width="13" style="8" customWidth="1"/>
  </cols>
  <sheetData>
    <row r="1" spans="1:6" ht="30" customHeight="1" x14ac:dyDescent="0.3">
      <c r="A1" s="26" t="s">
        <v>158</v>
      </c>
    </row>
    <row r="3" spans="1:6" x14ac:dyDescent="0.25">
      <c r="A3" s="1" t="s">
        <v>157</v>
      </c>
      <c r="B3" s="81" t="str">
        <f>'00_Control_Panel'!C4</f>
        <v>Best</v>
      </c>
    </row>
    <row r="5" spans="1:6" ht="15.75" x14ac:dyDescent="0.25">
      <c r="A5" s="22" t="s">
        <v>159</v>
      </c>
    </row>
    <row r="6" spans="1:6" x14ac:dyDescent="0.25">
      <c r="A6" s="84" t="s">
        <v>76</v>
      </c>
      <c r="B6" s="85">
        <v>2026</v>
      </c>
      <c r="C6" s="85">
        <f>B6+1</f>
        <v>2027</v>
      </c>
      <c r="D6" s="85">
        <f t="shared" ref="D6:F6" si="0">C6+1</f>
        <v>2028</v>
      </c>
      <c r="E6" s="85">
        <f t="shared" si="0"/>
        <v>2029</v>
      </c>
      <c r="F6" s="85">
        <f t="shared" si="0"/>
        <v>2030</v>
      </c>
    </row>
    <row r="7" spans="1:6" x14ac:dyDescent="0.25">
      <c r="A7" s="33" t="s">
        <v>95</v>
      </c>
      <c r="B7" s="89">
        <f>'03_Forecast_IS'!B6/365 * '01_Assumptions'!B28</f>
        <v>3296.5175342465745</v>
      </c>
      <c r="C7" s="61">
        <f>'03_Forecast_IS'!C6/365 * '01_Assumptions'!C28</f>
        <v>3758.0299890410956</v>
      </c>
      <c r="D7" s="64">
        <f>'03_Forecast_IS'!D6/365 * '01_Assumptions'!D28</f>
        <v>4246.5738876164378</v>
      </c>
      <c r="E7" s="89">
        <f>'03_Forecast_IS'!E6/365 * '01_Assumptions'!E28</f>
        <v>4756.1627541304106</v>
      </c>
      <c r="F7" s="61">
        <f>'03_Forecast_IS'!F6/365 * '01_Assumptions'!F28</f>
        <v>5279.3406570847574</v>
      </c>
    </row>
    <row r="8" spans="1:6" x14ac:dyDescent="0.25">
      <c r="A8" s="33" t="s">
        <v>96</v>
      </c>
      <c r="B8" s="64">
        <f>'03_Forecast_IS'!B7/365 * '01_Assumptions'!B29</f>
        <v>46975.374863013691</v>
      </c>
      <c r="C8" s="64">
        <f>'03_Forecast_IS'!C7/365 * '01_Assumptions'!C29</f>
        <v>48776.097566095887</v>
      </c>
      <c r="D8" s="64">
        <f>'03_Forecast_IS'!D7/365 * '01_Assumptions'!D29</f>
        <v>49826.466948032867</v>
      </c>
      <c r="E8" s="91">
        <f>'03_Forecast_IS'!E7/365 * '01_Assumptions'!E29</f>
        <v>49999.160952795952</v>
      </c>
      <c r="F8" s="64">
        <f>'03_Forecast_IS'!F7/365 * '01_Assumptions'!F29</f>
        <v>49185.857121839654</v>
      </c>
    </row>
    <row r="9" spans="1:6" x14ac:dyDescent="0.25">
      <c r="A9" s="33" t="s">
        <v>103</v>
      </c>
      <c r="B9" s="65">
        <f>'03_Forecast_IS'!B7/365 * '01_Assumptions'!B30</f>
        <v>37085.82226027397</v>
      </c>
      <c r="C9" s="65">
        <f>'03_Forecast_IS'!C7/365 * '01_Assumptions'!C30</f>
        <v>43201.686415684933</v>
      </c>
      <c r="D9" s="90">
        <f>'03_Forecast_IS'!D7/365 * '01_Assumptions'!D30</f>
        <v>49826.466948032867</v>
      </c>
      <c r="E9" s="92">
        <f>'03_Forecast_IS'!E7/365 * '01_Assumptions'!E30</f>
        <v>56895.596946285048</v>
      </c>
      <c r="F9" s="65">
        <f>'03_Forecast_IS'!F7/365 * '01_Assumptions'!F30</f>
        <v>64319.96700548262</v>
      </c>
    </row>
    <row r="12" spans="1:6" x14ac:dyDescent="0.25">
      <c r="A12" s="88" t="s">
        <v>160</v>
      </c>
      <c r="B12" s="102"/>
      <c r="C12" s="102"/>
      <c r="D12" s="102"/>
      <c r="E12" s="102"/>
      <c r="F12" s="102"/>
    </row>
    <row r="13" spans="1:6" x14ac:dyDescent="0.25">
      <c r="A13" s="84" t="s">
        <v>76</v>
      </c>
      <c r="B13" s="85">
        <v>2026</v>
      </c>
      <c r="C13" s="85">
        <f>B13+1</f>
        <v>2027</v>
      </c>
      <c r="D13" s="82">
        <f t="shared" ref="D13:F13" si="1">C13+1</f>
        <v>2028</v>
      </c>
      <c r="E13" s="82">
        <f t="shared" si="1"/>
        <v>2029</v>
      </c>
      <c r="F13" s="82">
        <f t="shared" si="1"/>
        <v>2030</v>
      </c>
    </row>
    <row r="14" spans="1:6" x14ac:dyDescent="0.25">
      <c r="A14" s="33" t="s">
        <v>161</v>
      </c>
      <c r="B14" s="64">
        <f>'02_Historical_IS_BS_CF'!F33</f>
        <v>187448</v>
      </c>
      <c r="C14" s="64">
        <f>B17</f>
        <v>206499.12425000002</v>
      </c>
      <c r="D14" s="63">
        <f t="shared" ref="D14:F14" si="2">C17</f>
        <v>227360.10530375</v>
      </c>
      <c r="E14" s="63">
        <f t="shared" si="2"/>
        <v>249964.26422637497</v>
      </c>
      <c r="F14" s="65">
        <f t="shared" si="2"/>
        <v>274195.92259142897</v>
      </c>
    </row>
    <row r="15" spans="1:6" x14ac:dyDescent="0.25">
      <c r="A15" s="100" t="s">
        <v>162</v>
      </c>
      <c r="B15" s="64">
        <f>'01_Assumptions'!B31*'03_Forecast_IS'!B6</f>
        <v>75201.806249999994</v>
      </c>
      <c r="C15" s="64">
        <f>'01_Assumptions'!C31*'03_Forecast_IS'!C6</f>
        <v>84301.22480625</v>
      </c>
      <c r="D15" s="64">
        <f>'01_Assumptions'!D31*'03_Forecast_IS'!D6</f>
        <v>93645.801250874982</v>
      </c>
      <c r="E15" s="64">
        <f>'01_Assumptions'!E31*'03_Forecast_IS'!E6</f>
        <v>103074.96468717</v>
      </c>
      <c r="F15" s="101">
        <f>'01_Assumptions'!F31*'03_Forecast_IS'!F6</f>
        <v>112405.96149042962</v>
      </c>
    </row>
    <row r="16" spans="1:6" ht="15.75" thickBot="1" x14ac:dyDescent="0.3">
      <c r="A16" s="93" t="s">
        <v>131</v>
      </c>
      <c r="B16" s="94">
        <f>'03_Forecast_IS'!B6*'01_Assumptions'!B32</f>
        <v>56150.681999999993</v>
      </c>
      <c r="C16" s="94">
        <f>'03_Forecast_IS'!C6*'01_Assumptions'!C32</f>
        <v>63440.243752500006</v>
      </c>
      <c r="D16" s="94">
        <f>'03_Forecast_IS'!D6*'01_Assumptions'!D32</f>
        <v>71041.642328249989</v>
      </c>
      <c r="E16" s="94">
        <f>'03_Forecast_IS'!E6*'01_Assumptions'!E32</f>
        <v>78843.306322115997</v>
      </c>
      <c r="F16" s="95">
        <f>'03_Forecast_IS'!F6*'01_Assumptions'!F32</f>
        <v>86713.170292617127</v>
      </c>
    </row>
    <row r="17" spans="1:6" ht="15.75" thickTop="1" x14ac:dyDescent="0.25">
      <c r="A17" s="96" t="s">
        <v>163</v>
      </c>
      <c r="B17" s="99">
        <f>B14+B15-B16</f>
        <v>206499.12425000002</v>
      </c>
      <c r="C17" s="99">
        <f t="shared" ref="C17:F17" si="3">C14+C15-C16</f>
        <v>227360.10530375</v>
      </c>
      <c r="D17" s="99">
        <f t="shared" si="3"/>
        <v>249964.26422637497</v>
      </c>
      <c r="E17" s="99">
        <f t="shared" si="3"/>
        <v>274195.92259142897</v>
      </c>
      <c r="F17" s="98">
        <f t="shared" si="3"/>
        <v>299888.71378924145</v>
      </c>
    </row>
    <row r="18" spans="1:6" x14ac:dyDescent="0.25">
      <c r="B18"/>
    </row>
  </sheetData>
  <conditionalFormatting sqref="A7:F9">
    <cfRule type="expression" dxfId="22" priority="2">
      <formula>ISEVEN(ROW())</formula>
    </cfRule>
  </conditionalFormatting>
  <conditionalFormatting sqref="A14:F16">
    <cfRule type="expression" dxfId="21" priority="1">
      <formula>ISEVEN(ROW())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showGridLines="0" workbookViewId="0">
      <pane ySplit="6" topLeftCell="A7" activePane="bottomLeft" state="frozen"/>
      <selection pane="bottomLeft" activeCell="L21" sqref="L21"/>
    </sheetView>
  </sheetViews>
  <sheetFormatPr defaultRowHeight="15" x14ac:dyDescent="0.25"/>
  <cols>
    <col min="1" max="1" width="49" customWidth="1"/>
    <col min="2" max="3" width="16.7109375" style="8" customWidth="1"/>
    <col min="4" max="4" width="16.5703125" style="8" customWidth="1"/>
    <col min="5" max="6" width="16.7109375" style="8" customWidth="1"/>
  </cols>
  <sheetData>
    <row r="1" spans="1:6" ht="30.75" customHeight="1" x14ac:dyDescent="0.3">
      <c r="A1" s="26" t="s">
        <v>177</v>
      </c>
    </row>
    <row r="2" spans="1:6" ht="27.75" customHeight="1" x14ac:dyDescent="0.25">
      <c r="A2" s="141" t="s">
        <v>178</v>
      </c>
      <c r="B2" s="141"/>
      <c r="C2" s="140"/>
    </row>
    <row r="4" spans="1:6" x14ac:dyDescent="0.25">
      <c r="A4" s="1" t="s">
        <v>157</v>
      </c>
      <c r="B4" s="81" t="str">
        <f>'00_Control_Panel'!C4</f>
        <v>Best</v>
      </c>
    </row>
    <row r="6" spans="1:6" x14ac:dyDescent="0.25">
      <c r="A6" s="142" t="s">
        <v>179</v>
      </c>
      <c r="B6" s="143">
        <v>2026</v>
      </c>
      <c r="C6" s="143">
        <f>B6+1</f>
        <v>2027</v>
      </c>
      <c r="D6" s="143">
        <f t="shared" ref="D6:E6" si="0">C6+1</f>
        <v>2028</v>
      </c>
      <c r="E6" s="143">
        <f t="shared" si="0"/>
        <v>2029</v>
      </c>
      <c r="F6" s="143">
        <f>E6+1</f>
        <v>2030</v>
      </c>
    </row>
    <row r="7" spans="1:6" x14ac:dyDescent="0.25">
      <c r="A7" s="146" t="s">
        <v>180</v>
      </c>
      <c r="B7" s="161">
        <f>'04_Forecast_BS'!B15-'04_Forecast_BS'!B34</f>
        <v>0</v>
      </c>
      <c r="C7" s="161">
        <f>'04_Forecast_BS'!C15-'04_Forecast_BS'!C34</f>
        <v>0</v>
      </c>
      <c r="D7" s="161">
        <f>'04_Forecast_BS'!D15-'04_Forecast_BS'!D34</f>
        <v>0</v>
      </c>
      <c r="E7" s="161">
        <f>'04_Forecast_BS'!E15-'04_Forecast_BS'!E34</f>
        <v>0</v>
      </c>
      <c r="F7" s="161">
        <f>'04_Forecast_BS'!F15-'04_Forecast_BS'!F34</f>
        <v>0</v>
      </c>
    </row>
    <row r="8" spans="1:6" x14ac:dyDescent="0.25">
      <c r="A8" s="37" t="s">
        <v>181</v>
      </c>
      <c r="B8" s="161">
        <f>'05_Forecast_CF'!B20-'04_Forecast_BS'!B7</f>
        <v>0</v>
      </c>
      <c r="C8" s="161">
        <f>'05_Forecast_CF'!C20-'04_Forecast_BS'!C7</f>
        <v>0</v>
      </c>
      <c r="D8" s="161">
        <f>'05_Forecast_CF'!D20-'04_Forecast_BS'!D7</f>
        <v>0</v>
      </c>
      <c r="E8" s="161">
        <f>'05_Forecast_CF'!E20-'04_Forecast_BS'!E7</f>
        <v>0</v>
      </c>
      <c r="F8" s="161">
        <f>'05_Forecast_CF'!F20-'04_Forecast_BS'!F7</f>
        <v>0</v>
      </c>
    </row>
    <row r="9" spans="1:6" x14ac:dyDescent="0.25">
      <c r="A9" s="150"/>
      <c r="B9" s="151">
        <v>2021</v>
      </c>
      <c r="C9" s="151">
        <f>B9+1</f>
        <v>2022</v>
      </c>
      <c r="D9" s="151">
        <f t="shared" ref="D9:F9" si="1">C9+1</f>
        <v>2023</v>
      </c>
      <c r="E9" s="151">
        <f t="shared" si="1"/>
        <v>2024</v>
      </c>
      <c r="F9" s="153">
        <f t="shared" si="1"/>
        <v>2025</v>
      </c>
    </row>
    <row r="10" spans="1:6" x14ac:dyDescent="0.25">
      <c r="A10" s="220" t="s">
        <v>182</v>
      </c>
      <c r="B10" s="229">
        <f>'02_Historical_IS_BS_CF'!B36-'02_Historical_IS_BS_CF'!B52</f>
        <v>11</v>
      </c>
      <c r="C10" s="229">
        <f>'02_Historical_IS_BS_CF'!C36-'02_Historical_IS_BS_CF'!C52</f>
        <v>0</v>
      </c>
      <c r="D10" s="229">
        <f>'02_Historical_IS_BS_CF'!D36-'02_Historical_IS_BS_CF'!D52</f>
        <v>0</v>
      </c>
      <c r="E10" s="229">
        <f>'02_Historical_IS_BS_CF'!E36-'02_Historical_IS_BS_CF'!E52</f>
        <v>0</v>
      </c>
      <c r="F10" s="229">
        <f>'02_Historical_IS_BS_CF'!F36-'02_Historical_IS_BS_CF'!F52</f>
        <v>0</v>
      </c>
    </row>
    <row r="11" spans="1:6" x14ac:dyDescent="0.25">
      <c r="A11" s="220" t="s">
        <v>183</v>
      </c>
      <c r="B11" s="229">
        <f>'02_Historical_IS_BS_CF'!B95-'02_Historical_IS_BS_CF'!B28</f>
        <v>0</v>
      </c>
      <c r="C11" s="229">
        <f>'02_Historical_IS_BS_CF'!C95-'02_Historical_IS_BS_CF'!C28</f>
        <v>0</v>
      </c>
      <c r="D11" s="229">
        <f>'02_Historical_IS_BS_CF'!D95-'02_Historical_IS_BS_CF'!D28</f>
        <v>0</v>
      </c>
      <c r="E11" s="229">
        <f>'02_Historical_IS_BS_CF'!E95-'02_Historical_IS_BS_CF'!E28</f>
        <v>2</v>
      </c>
      <c r="F11" s="229">
        <f>'02_Historical_IS_BS_CF'!F95-'02_Historical_IS_BS_CF'!F28</f>
        <v>2</v>
      </c>
    </row>
    <row r="12" spans="1:6" x14ac:dyDescent="0.25">
      <c r="A12" s="83" t="s">
        <v>184</v>
      </c>
      <c r="B12" s="226" t="str">
        <f>'00_Control_Panel'!D4</f>
        <v>✓ Valid</v>
      </c>
      <c r="C12" s="227"/>
      <c r="D12" s="227"/>
      <c r="E12" s="227"/>
      <c r="F12" s="228"/>
    </row>
    <row r="13" spans="1:6" x14ac:dyDescent="0.25">
      <c r="A13" s="150"/>
      <c r="B13" s="156"/>
      <c r="C13" s="152"/>
      <c r="D13" s="152"/>
      <c r="E13" s="152"/>
      <c r="F13" s="154"/>
    </row>
    <row r="14" spans="1:6" ht="29.25" customHeight="1" x14ac:dyDescent="0.25">
      <c r="A14" s="37" t="s">
        <v>185</v>
      </c>
      <c r="B14" s="157" t="str">
        <f>IF(AND(ABS(B7)&lt;=3,ABS(B8)&lt;=3),"✓ Model integrity confirmed","⚠ Review required")</f>
        <v>✓ Model integrity confirmed</v>
      </c>
      <c r="C14" s="158" t="str">
        <f t="shared" ref="C14:F14" si="2">IF(AND(ABS(C7)&lt;=3,ABS(C8)&lt;=3),"✓ Model integrity confirmed","⚠ Review required")</f>
        <v>✓ Model integrity confirmed</v>
      </c>
      <c r="D14" s="159" t="str">
        <f t="shared" si="2"/>
        <v>✓ Model integrity confirmed</v>
      </c>
      <c r="E14" s="160" t="str">
        <f t="shared" si="2"/>
        <v>✓ Model integrity confirmed</v>
      </c>
      <c r="F14" s="159" t="str">
        <f t="shared" si="2"/>
        <v>✓ Model integrity confirmed</v>
      </c>
    </row>
    <row r="15" spans="1:6" x14ac:dyDescent="0.25">
      <c r="B15" s="145"/>
    </row>
  </sheetData>
  <mergeCells count="2">
    <mergeCell ref="A2:B2"/>
    <mergeCell ref="B12:F12"/>
  </mergeCells>
  <conditionalFormatting sqref="B7:F8">
    <cfRule type="cellIs" dxfId="20" priority="4" operator="notEqual">
      <formula>0</formula>
    </cfRule>
  </conditionalFormatting>
  <conditionalFormatting sqref="B10:F11">
    <cfRule type="cellIs" dxfId="19" priority="3" operator="notEqual">
      <formula>0</formula>
    </cfRule>
  </conditionalFormatting>
  <conditionalFormatting sqref="B14:F14">
    <cfRule type="containsText" dxfId="18" priority="1" operator="containsText" text="Review required">
      <formula>NOT(ISERROR(SEARCH("Review required",B14)))</formula>
    </cfRule>
    <cfRule type="containsText" dxfId="17" priority="2" operator="containsText" text="confirmed">
      <formula>NOT(ISERROR(SEARCH("confirmed",B14)))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8E1B-ACAB-461A-AEB0-6DC9635D8CC7}">
  <dimension ref="A1:F68"/>
  <sheetViews>
    <sheetView showGridLines="0" workbookViewId="0">
      <selection activeCell="K55" sqref="K55"/>
    </sheetView>
  </sheetViews>
  <sheetFormatPr defaultRowHeight="15" x14ac:dyDescent="0.25"/>
  <cols>
    <col min="1" max="1" width="55.5703125" customWidth="1"/>
    <col min="2" max="5" width="16.7109375" style="8" customWidth="1"/>
    <col min="6" max="6" width="16.5703125" style="8" customWidth="1"/>
  </cols>
  <sheetData>
    <row r="1" spans="1:6" ht="29.25" customHeight="1" x14ac:dyDescent="0.3">
      <c r="A1" s="26" t="s">
        <v>187</v>
      </c>
    </row>
    <row r="2" spans="1:6" ht="15" customHeight="1" x14ac:dyDescent="0.25">
      <c r="A2" s="139" t="s">
        <v>188</v>
      </c>
      <c r="B2" s="140"/>
    </row>
    <row r="4" spans="1:6" ht="15.75" x14ac:dyDescent="0.25">
      <c r="A4" s="164" t="s">
        <v>189</v>
      </c>
      <c r="B4" s="102"/>
    </row>
    <row r="5" spans="1:6" x14ac:dyDescent="0.25">
      <c r="A5" s="178" t="s">
        <v>19</v>
      </c>
      <c r="B5" s="176">
        <f>SUMIFS('10_Data_Sources'!$E$5:$E$154,'10_Data_Sources'!$A$5:$A$154,"revenue_growth_pct",'10_Data_Sources'!$C$5:$C$154,"base",'10_Data_Sources'!$D$5:$D$154,B$13)</f>
        <v>0.13</v>
      </c>
      <c r="C5" s="171">
        <f>SUMIFS('10_Data_Sources'!$E$5:$E$154,'10_Data_Sources'!$A$5:$A$154,"revenue_growth_pct",'10_Data_Sources'!$C$5:$C$154,"base",'10_Data_Sources'!$D$5:$D$154,C$13)</f>
        <v>0.115</v>
      </c>
      <c r="D5" s="171">
        <f>SUMIFS('10_Data_Sources'!$E$5:$E$154,'10_Data_Sources'!$A$5:$A$154,"revenue_growth_pct",'10_Data_Sources'!$C$5:$C$154,"base",'10_Data_Sources'!$D$5:$D$154,D$13)</f>
        <v>0.1</v>
      </c>
      <c r="E5" s="171">
        <f>SUMIFS('10_Data_Sources'!$E$5:$E$154,'10_Data_Sources'!$A$5:$A$154,"revenue_growth_pct",'10_Data_Sources'!$C$5:$C$154,"base",'10_Data_Sources'!$D$5:$D$154,E$13)</f>
        <v>8.5000000000000006E-2</v>
      </c>
      <c r="F5" s="171">
        <f>SUMIFS('10_Data_Sources'!$E$5:$E$154,'10_Data_Sources'!$A$5:$A$154,"revenue_growth_pct",'10_Data_Sources'!$C$5:$C$154,"base",'10_Data_Sources'!$D$5:$D$154,F$13)</f>
        <v>7.0000000000000007E-2</v>
      </c>
    </row>
    <row r="6" spans="1:6" x14ac:dyDescent="0.25">
      <c r="A6" t="s">
        <v>26</v>
      </c>
      <c r="B6" s="176">
        <f>SUMIFS('10_Data_Sources'!$E$5:$E$154,'10_Data_Sources'!$A$5:$A$154,"gross_margin_pct",'10_Data_Sources'!$C$5:$C$154,"base",'10_Data_Sources'!$D$5:$D$154,B$13)</f>
        <v>0.54500000000000004</v>
      </c>
      <c r="C6" s="172">
        <f>SUMIFS('10_Data_Sources'!$E$5:$E$154,'10_Data_Sources'!$A$5:$A$154,"gross_margin_pct",'10_Data_Sources'!$C$5:$C$154,"base",'10_Data_Sources'!$D$5:$D$154,C$13)</f>
        <v>0.54625000000000001</v>
      </c>
      <c r="D6" s="172">
        <f>SUMIFS('10_Data_Sources'!$E$5:$E$154,'10_Data_Sources'!$A$5:$A$154,"gross_margin_pct",'10_Data_Sources'!$C$5:$C$154,"base",'10_Data_Sources'!$D$5:$D$154,D$13)</f>
        <v>0.54749999999999999</v>
      </c>
      <c r="E6" s="172">
        <f>SUMIFS('10_Data_Sources'!$E$5:$E$154,'10_Data_Sources'!$A$5:$A$154,"gross_margin_pct",'10_Data_Sources'!$C$5:$C$154,"base",'10_Data_Sources'!$D$5:$D$154,E$13)</f>
        <v>0.54874999999999996</v>
      </c>
      <c r="F6" s="171">
        <f>SUMIFS('10_Data_Sources'!$E$5:$E$154,'10_Data_Sources'!$A$5:$A$154,"gross_margin_pct",'10_Data_Sources'!$C$5:$C$154,"base",'10_Data_Sources'!$D$5:$D$154,F$13)</f>
        <v>0.55000000000000004</v>
      </c>
    </row>
    <row r="7" spans="1:6" x14ac:dyDescent="0.25">
      <c r="A7" s="33" t="s">
        <v>30</v>
      </c>
      <c r="B7" s="176">
        <f>SUMIFS('10_Data_Sources'!$E$5:$E$154,'10_Data_Sources'!$A$5:$A$154,"sga_pct_revenue",'10_Data_Sources'!$C$5:$C$154,"base",'10_Data_Sources'!$D$5:$D$154,B$13)</f>
        <v>0.53500000000000003</v>
      </c>
      <c r="C7" s="172">
        <f>SUMIFS('10_Data_Sources'!$E$5:$E$154,'10_Data_Sources'!$A$5:$A$154,"sga_pct_revenue",'10_Data_Sources'!$C$5:$C$154,"base",'10_Data_Sources'!$D$5:$D$154,C$13)</f>
        <v>0.52124999999999999</v>
      </c>
      <c r="D7" s="172">
        <f>SUMIFS('10_Data_Sources'!$E$5:$E$154,'10_Data_Sources'!$A$5:$A$154,"sga_pct_revenue",'10_Data_Sources'!$C$5:$C$154,"base",'10_Data_Sources'!$D$5:$D$154,D$13)</f>
        <v>0.50749999999999995</v>
      </c>
      <c r="E7" s="172">
        <f>SUMIFS('10_Data_Sources'!$E$5:$E$154,'10_Data_Sources'!$A$5:$A$154,"sga_pct_revenue",'10_Data_Sources'!$C$5:$C$154,"base",'10_Data_Sources'!$D$5:$D$154,E$13)</f>
        <v>0.49375000000000002</v>
      </c>
      <c r="F7" s="172">
        <f>SUMIFS('10_Data_Sources'!$E$5:$E$154,'10_Data_Sources'!$A$5:$A$154,"sga_pct_revenue",'10_Data_Sources'!$C$5:$C$154,"base",'10_Data_Sources'!$D$5:$D$154,F$13)</f>
        <v>0.48</v>
      </c>
    </row>
    <row r="8" spans="1:6" x14ac:dyDescent="0.25">
      <c r="A8" s="83" t="s">
        <v>190</v>
      </c>
      <c r="B8" s="175">
        <f>SUMIFS('10_Data_Sources'!$E$5:$E$154,'10_Data_Sources'!$A$5:$A$154,"effective_tax_rate_pct",'10_Data_Sources'!$C$5:$C$154,"base",'10_Data_Sources'!$D$5:$D$154,B$13)</f>
        <v>0.08</v>
      </c>
      <c r="C8" s="171">
        <f>SUMIFS('10_Data_Sources'!$E$5:$E$154,'10_Data_Sources'!$A$5:$A$154,"effective_tax_rate_pct",'10_Data_Sources'!$C$5:$C$154,"base",'10_Data_Sources'!$D$5:$D$154,C$13)</f>
        <v>0.12</v>
      </c>
      <c r="D8" s="171">
        <f>SUMIFS('10_Data_Sources'!$E$5:$E$154,'10_Data_Sources'!$A$5:$A$154,"effective_tax_rate_pct",'10_Data_Sources'!$C$5:$C$154,"base",'10_Data_Sources'!$D$5:$D$154,D$13)</f>
        <v>0.16</v>
      </c>
      <c r="E8" s="171">
        <f>SUMIFS('10_Data_Sources'!$E$5:$E$154,'10_Data_Sources'!$A$5:$A$154,"effective_tax_rate_pct",'10_Data_Sources'!$C$5:$C$154,"base",'10_Data_Sources'!$D$5:$D$154,E$13)</f>
        <v>0.2</v>
      </c>
      <c r="F8" s="171">
        <f>SUMIFS('10_Data_Sources'!$E$5:$E$154,'10_Data_Sources'!$A$5:$A$154,"effective_tax_rate_pct",'10_Data_Sources'!$C$5:$C$154,"base",'10_Data_Sources'!$D$5:$D$154,F$13)</f>
        <v>0.24</v>
      </c>
    </row>
    <row r="9" spans="1:6" x14ac:dyDescent="0.25">
      <c r="D9" s="155"/>
    </row>
    <row r="10" spans="1:6" x14ac:dyDescent="0.25">
      <c r="D10" s="182"/>
    </row>
    <row r="11" spans="1:6" x14ac:dyDescent="0.25">
      <c r="D11" s="182"/>
    </row>
    <row r="13" spans="1:6" x14ac:dyDescent="0.25">
      <c r="B13" s="143">
        <v>2026</v>
      </c>
      <c r="C13" s="166">
        <f>B13+1</f>
        <v>2027</v>
      </c>
      <c r="D13" s="165">
        <f t="shared" ref="D13:F13" si="0">C13+1</f>
        <v>2028</v>
      </c>
      <c r="E13" s="165">
        <f t="shared" si="0"/>
        <v>2029</v>
      </c>
      <c r="F13" s="143">
        <f t="shared" si="0"/>
        <v>2030</v>
      </c>
    </row>
    <row r="14" spans="1:6" x14ac:dyDescent="0.25">
      <c r="A14" s="37" t="s">
        <v>77</v>
      </c>
      <c r="B14" s="148">
        <f>'02_Historical_IS_BS_CF'!$F$5*(1+B5)</f>
        <v>985252.64999999991</v>
      </c>
      <c r="C14" s="149">
        <f>B14*(1+C5)</f>
        <v>1098556.7047499998</v>
      </c>
      <c r="D14" s="167">
        <f>C14*(1+D5)</f>
        <v>1208412.3752249999</v>
      </c>
      <c r="E14" s="168">
        <f>D14*(1+E5)</f>
        <v>1311127.4271191247</v>
      </c>
      <c r="F14" s="147">
        <f>E14*(1+F5)</f>
        <v>1402906.3470174635</v>
      </c>
    </row>
    <row r="15" spans="1:6" x14ac:dyDescent="0.25">
      <c r="A15" s="59" t="s">
        <v>78</v>
      </c>
      <c r="B15" s="167">
        <f>B14*(1-B6)</f>
        <v>448289.95574999991</v>
      </c>
      <c r="C15" s="168">
        <f>C14*(1-C6)</f>
        <v>498470.10478031239</v>
      </c>
      <c r="D15" s="148">
        <f>D14*(1-D6)</f>
        <v>546806.59978931246</v>
      </c>
      <c r="E15" s="169">
        <f>E14*(1-E6)</f>
        <v>591646.25148750504</v>
      </c>
      <c r="F15" s="148">
        <f>F14*(1-F6)</f>
        <v>631307.85615785851</v>
      </c>
    </row>
    <row r="16" spans="1:6" x14ac:dyDescent="0.25">
      <c r="A16" s="60" t="s">
        <v>79</v>
      </c>
      <c r="B16" s="103">
        <f>B14-B15</f>
        <v>536962.69424999994</v>
      </c>
      <c r="C16" s="118">
        <f t="shared" ref="C16:F16" si="1">C14-C15</f>
        <v>600086.59996968741</v>
      </c>
      <c r="D16" s="185">
        <f t="shared" si="1"/>
        <v>661605.77543568739</v>
      </c>
      <c r="E16" s="186">
        <f t="shared" si="1"/>
        <v>719481.17563161964</v>
      </c>
      <c r="F16" s="185">
        <f t="shared" si="1"/>
        <v>771598.49085960502</v>
      </c>
    </row>
    <row r="17" spans="1:6" x14ac:dyDescent="0.25">
      <c r="A17" s="59" t="s">
        <v>191</v>
      </c>
      <c r="B17" s="167">
        <f>B14*B7</f>
        <v>527110.16775000002</v>
      </c>
      <c r="C17" s="168">
        <f>C14*C7</f>
        <v>572622.68235093739</v>
      </c>
      <c r="D17" s="148">
        <f>D14*D7</f>
        <v>613269.28042668733</v>
      </c>
      <c r="E17" s="169">
        <f>E14*E7</f>
        <v>647369.16714006779</v>
      </c>
      <c r="F17" s="148">
        <f>F14*F7</f>
        <v>673395.04656838241</v>
      </c>
    </row>
    <row r="18" spans="1:6" x14ac:dyDescent="0.25">
      <c r="A18" s="60" t="s">
        <v>81</v>
      </c>
      <c r="B18" s="103">
        <f>B16-B17</f>
        <v>9852.5264999999199</v>
      </c>
      <c r="C18" s="118">
        <f t="shared" ref="C18:F18" si="2">C16-C17</f>
        <v>27463.917618750012</v>
      </c>
      <c r="D18" s="184">
        <f t="shared" si="2"/>
        <v>48336.495009000064</v>
      </c>
      <c r="E18" s="187">
        <f t="shared" si="2"/>
        <v>72112.008491551853</v>
      </c>
      <c r="F18" s="103">
        <f t="shared" si="2"/>
        <v>98203.444291222608</v>
      </c>
    </row>
    <row r="19" spans="1:6" x14ac:dyDescent="0.25">
      <c r="A19" s="33" t="s">
        <v>82</v>
      </c>
      <c r="B19" s="73">
        <f>'02_Historical_IS_BS_CF'!$F$10</f>
        <v>8379</v>
      </c>
      <c r="C19" s="73">
        <f>'02_Historical_IS_BS_CF'!$F$10</f>
        <v>8379</v>
      </c>
      <c r="D19" s="73">
        <f>'02_Historical_IS_BS_CF'!$F$10</f>
        <v>8379</v>
      </c>
      <c r="E19" s="73">
        <f>'02_Historical_IS_BS_CF'!$F$10</f>
        <v>8379</v>
      </c>
      <c r="F19" s="73">
        <f>'02_Historical_IS_BS_CF'!$F$10</f>
        <v>8379</v>
      </c>
    </row>
    <row r="20" spans="1:6" ht="15.75" thickBot="1" x14ac:dyDescent="0.3">
      <c r="A20" s="86" t="s">
        <v>198</v>
      </c>
      <c r="B20" s="183">
        <f>B18+B19</f>
        <v>18231.52649999992</v>
      </c>
      <c r="C20" s="183">
        <f t="shared" ref="C20:F20" si="3">C18+C19</f>
        <v>35842.917618750012</v>
      </c>
      <c r="D20" s="183">
        <f t="shared" si="3"/>
        <v>56715.495009000064</v>
      </c>
      <c r="E20" s="183">
        <f t="shared" si="3"/>
        <v>80491.008491551853</v>
      </c>
      <c r="F20" s="183">
        <f t="shared" si="3"/>
        <v>106582.44429122261</v>
      </c>
    </row>
    <row r="21" spans="1:6" ht="15.75" thickTop="1" x14ac:dyDescent="0.25">
      <c r="A21" s="75" t="s">
        <v>85</v>
      </c>
      <c r="B21" s="184">
        <f>IF(B20&lt;=0,B20,B20-(B20*B8))</f>
        <v>16773.004379999926</v>
      </c>
      <c r="C21" s="184">
        <f>IF(C20&lt;=0,C20,C20-(C20*C8))</f>
        <v>31541.767504500011</v>
      </c>
      <c r="D21" s="184">
        <f>IF(D20&lt;=0,D20,D20-(D20*D8))</f>
        <v>47641.015807560056</v>
      </c>
      <c r="E21" s="184">
        <f>IF(E20&lt;=0,E20,E20-(E20*E8))</f>
        <v>64392.806793241485</v>
      </c>
      <c r="F21" s="184">
        <f>IF(F20&lt;=0,F20,F20-(F20*F8))</f>
        <v>81002.657661329184</v>
      </c>
    </row>
    <row r="23" spans="1:6" x14ac:dyDescent="0.25">
      <c r="B23"/>
      <c r="C23"/>
      <c r="D23"/>
      <c r="E23"/>
      <c r="F23"/>
    </row>
    <row r="24" spans="1:6" ht="15.75" x14ac:dyDescent="0.25">
      <c r="A24" s="170" t="s">
        <v>192</v>
      </c>
    </row>
    <row r="25" spans="1:6" x14ac:dyDescent="0.25">
      <c r="A25" s="33" t="s">
        <v>19</v>
      </c>
      <c r="B25" s="171">
        <f>SUMIFS('10_Data_Sources'!$E$5:$E$154,'10_Data_Sources'!$A$5:$A$154,"revenue_growth_pct",'10_Data_Sources'!$C$5:$C$154,"best",'10_Data_Sources'!$D$5:$D$154,B$33)</f>
        <v>0.15</v>
      </c>
      <c r="C25" s="171">
        <f>SUMIFS('10_Data_Sources'!$E$5:$E$154,'10_Data_Sources'!$A$5:$A$154,"revenue_growth_pct",'10_Data_Sources'!$C$5:$C$154,"best",'10_Data_Sources'!$D$5:$D$154,C$33)</f>
        <v>0.14000000000000001</v>
      </c>
      <c r="D25" s="171">
        <f>SUMIFS('10_Data_Sources'!$E$5:$E$154,'10_Data_Sources'!$A$5:$A$154,"revenue_growth_pct",'10_Data_Sources'!$C$5:$C$154,"best",'10_Data_Sources'!$D$5:$D$154,D$33)</f>
        <v>0.13</v>
      </c>
      <c r="E25" s="171">
        <f>SUMIFS('10_Data_Sources'!$E$5:$E$154,'10_Data_Sources'!$A$5:$A$154,"revenue_growth_pct",'10_Data_Sources'!$C$5:$C$154,"best",'10_Data_Sources'!$D$5:$D$154,E$33)</f>
        <v>0.12</v>
      </c>
      <c r="F25" s="171">
        <f>SUMIFS('10_Data_Sources'!$E$5:$E$154,'10_Data_Sources'!$A$5:$A$154,"revenue_growth_pct",'10_Data_Sources'!$C$5:$C$154,"best",'10_Data_Sources'!$D$5:$D$154,F$33)</f>
        <v>0.11</v>
      </c>
    </row>
    <row r="26" spans="1:6" x14ac:dyDescent="0.25">
      <c r="A26" s="174" t="s">
        <v>26</v>
      </c>
      <c r="B26" s="173">
        <f>SUMIFS('10_Data_Sources'!$E$5:$E$154,'10_Data_Sources'!$A$5:$A$154,"gross_margin_pct",'10_Data_Sources'!$C$5:$C$154,"best",'10_Data_Sources'!$D$5:$D$154,B$33)</f>
        <v>0.55000000000000004</v>
      </c>
      <c r="C26" s="173">
        <f>SUMIFS('10_Data_Sources'!$E$5:$E$154,'10_Data_Sources'!$A$5:$A$154,"gross_margin_pct",'10_Data_Sources'!$C$5:$C$154,"best",'10_Data_Sources'!$D$5:$D$154,C$33)</f>
        <v>0.55500000000000005</v>
      </c>
      <c r="D26" s="173">
        <f>SUMIFS('10_Data_Sources'!$E$5:$E$154,'10_Data_Sources'!$A$5:$A$154,"gross_margin_pct",'10_Data_Sources'!$C$5:$C$154,"best",'10_Data_Sources'!$D$5:$D$154,D$33)</f>
        <v>0.56000000000000005</v>
      </c>
      <c r="E26" s="173">
        <f>SUMIFS('10_Data_Sources'!$E$5:$E$154,'10_Data_Sources'!$A$5:$A$154,"gross_margin_pct",'10_Data_Sources'!$C$5:$C$154,"best",'10_Data_Sources'!$D$5:$D$154,E$33)</f>
        <v>0.56499999999999995</v>
      </c>
      <c r="F26" s="172">
        <f>SUMIFS('10_Data_Sources'!$E$5:$E$154,'10_Data_Sources'!$A$5:$A$154,"gross_margin_pct",'10_Data_Sources'!$C$5:$C$154,"best",'10_Data_Sources'!$D$5:$D$154,F$33)</f>
        <v>0.56999999999999995</v>
      </c>
    </row>
    <row r="27" spans="1:6" x14ac:dyDescent="0.25">
      <c r="A27" s="33" t="s">
        <v>30</v>
      </c>
      <c r="B27" s="171">
        <f>SUMIFS('10_Data_Sources'!$E$5:$E$154,'10_Data_Sources'!$A$5:$A$154,"sga_pct_revenue",'10_Data_Sources'!$C$5:$C$154,"best",'10_Data_Sources'!$D$5:$D$154,B$33)</f>
        <v>0.53</v>
      </c>
      <c r="C27" s="171">
        <f>SUMIFS('10_Data_Sources'!$E$5:$E$154,'10_Data_Sources'!$A$5:$A$154,"sga_pct_revenue",'10_Data_Sources'!$C$5:$C$154,"best",'10_Data_Sources'!$D$5:$D$154,C$33)</f>
        <v>0.50749999999999995</v>
      </c>
      <c r="D27" s="171">
        <f>SUMIFS('10_Data_Sources'!$E$5:$E$154,'10_Data_Sources'!$A$5:$A$154,"sga_pct_revenue",'10_Data_Sources'!$C$5:$C$154,"best",'10_Data_Sources'!$D$5:$D$154,D$33)</f>
        <v>0.48499999999999999</v>
      </c>
      <c r="E27" s="171">
        <f>SUMIFS('10_Data_Sources'!$E$5:$E$154,'10_Data_Sources'!$A$5:$A$154,"sga_pct_revenue",'10_Data_Sources'!$C$5:$C$154,"best",'10_Data_Sources'!$D$5:$D$154,E$33)</f>
        <v>0.46250000000000002</v>
      </c>
      <c r="F27" s="171">
        <f>SUMIFS('10_Data_Sources'!$E$5:$E$154,'10_Data_Sources'!$A$5:$A$154,"sga_pct_revenue",'10_Data_Sources'!$C$5:$C$154,"best",'10_Data_Sources'!$D$5:$D$154,F$33)</f>
        <v>0.44</v>
      </c>
    </row>
    <row r="28" spans="1:6" x14ac:dyDescent="0.25">
      <c r="A28" s="83" t="s">
        <v>190</v>
      </c>
      <c r="B28" s="172">
        <f>SUMIFS('10_Data_Sources'!$E$5:$E$154,'10_Data_Sources'!$A$5:$A$154,"effective_tax_rate_pct",'10_Data_Sources'!$C$5:$C$154,"best",'10_Data_Sources'!$D$5:$D$154,B$33)</f>
        <v>0.05</v>
      </c>
      <c r="C28" s="172">
        <f>SUMIFS('10_Data_Sources'!$E$5:$E$154,'10_Data_Sources'!$A$5:$A$154,"effective_tax_rate_pct",'10_Data_Sources'!$C$5:$C$154,"best",'10_Data_Sources'!$D$5:$D$154,C$33)</f>
        <v>8.7499999999999994E-2</v>
      </c>
      <c r="D28" s="172">
        <f>SUMIFS('10_Data_Sources'!$E$5:$E$154,'10_Data_Sources'!$A$5:$A$154,"effective_tax_rate_pct",'10_Data_Sources'!$C$5:$C$154,"best",'10_Data_Sources'!$D$5:$D$154,D$33)</f>
        <v>0.125</v>
      </c>
      <c r="E28" s="172">
        <f>SUMIFS('10_Data_Sources'!$E$5:$E$154,'10_Data_Sources'!$A$5:$A$154,"effective_tax_rate_pct",'10_Data_Sources'!$C$5:$C$154,"best",'10_Data_Sources'!$D$5:$D$154,E$33)</f>
        <v>0.16250000000000001</v>
      </c>
      <c r="F28" s="172">
        <f>SUMIFS('10_Data_Sources'!$E$5:$E$154,'10_Data_Sources'!$A$5:$A$154,"effective_tax_rate_pct",'10_Data_Sources'!$C$5:$C$154,"best",'10_Data_Sources'!$D$5:$D$154,F$33)</f>
        <v>0.2</v>
      </c>
    </row>
    <row r="33" spans="1:6" x14ac:dyDescent="0.25">
      <c r="B33" s="143">
        <v>2026</v>
      </c>
      <c r="C33" s="143">
        <f>B33+1</f>
        <v>2027</v>
      </c>
      <c r="D33" s="143">
        <f t="shared" ref="D33:F33" si="4">C33+1</f>
        <v>2028</v>
      </c>
      <c r="E33" s="143">
        <f t="shared" si="4"/>
        <v>2029</v>
      </c>
      <c r="F33" s="143">
        <f t="shared" si="4"/>
        <v>2030</v>
      </c>
    </row>
    <row r="34" spans="1:6" x14ac:dyDescent="0.25">
      <c r="A34" s="37" t="s">
        <v>77</v>
      </c>
      <c r="B34" s="148">
        <f>'02_Historical_IS_BS_CF'!$F$5*(1+B25)</f>
        <v>1002690.7499999999</v>
      </c>
      <c r="C34" s="149">
        <f>B34*(1+C25)</f>
        <v>1143067.4550000001</v>
      </c>
      <c r="D34" s="167">
        <f t="shared" ref="D34:F34" si="5">C34*(1+D25)</f>
        <v>1291666.2241499999</v>
      </c>
      <c r="E34" s="168">
        <f t="shared" si="5"/>
        <v>1446666.171048</v>
      </c>
      <c r="F34" s="147">
        <f t="shared" si="5"/>
        <v>1605799.4498632802</v>
      </c>
    </row>
    <row r="35" spans="1:6" x14ac:dyDescent="0.25">
      <c r="A35" s="59" t="s">
        <v>78</v>
      </c>
      <c r="B35" s="167">
        <f>B34*(1-B26)</f>
        <v>451210.83749999991</v>
      </c>
      <c r="C35" s="168">
        <f t="shared" ref="C35" si="6">C34*(1-C26)</f>
        <v>508665.017475</v>
      </c>
      <c r="D35" s="148">
        <f t="shared" ref="D35" si="7">D34*(1-D26)</f>
        <v>568333.13862599991</v>
      </c>
      <c r="E35" s="169">
        <f t="shared" ref="E35" si="8">E34*(1-E26)</f>
        <v>629299.78440588003</v>
      </c>
      <c r="F35" s="148">
        <f t="shared" ref="F35" si="9">F34*(1-F26)</f>
        <v>690493.7634412105</v>
      </c>
    </row>
    <row r="36" spans="1:6" x14ac:dyDescent="0.25">
      <c r="A36" s="60" t="s">
        <v>79</v>
      </c>
      <c r="B36" s="103">
        <f>B34-B35</f>
        <v>551479.91249999998</v>
      </c>
      <c r="C36" s="118">
        <f t="shared" ref="C36" si="10">C34-C35</f>
        <v>634402.43752500007</v>
      </c>
      <c r="D36" s="185">
        <f t="shared" ref="D36" si="11">D34-D35</f>
        <v>723333.08552399999</v>
      </c>
      <c r="E36" s="186">
        <f t="shared" ref="E36" si="12">E34-E35</f>
        <v>817366.38664211996</v>
      </c>
      <c r="F36" s="185">
        <f t="shared" ref="F36" si="13">F34-F35</f>
        <v>915305.68642206967</v>
      </c>
    </row>
    <row r="37" spans="1:6" x14ac:dyDescent="0.25">
      <c r="A37" s="59" t="s">
        <v>191</v>
      </c>
      <c r="B37" s="167">
        <f>B34*B27</f>
        <v>531426.09749999992</v>
      </c>
      <c r="C37" s="168">
        <f t="shared" ref="C37:F37" si="14">C34*C27</f>
        <v>580106.73341250001</v>
      </c>
      <c r="D37" s="148">
        <f t="shared" si="14"/>
        <v>626458.11871274991</v>
      </c>
      <c r="E37" s="169">
        <f t="shared" si="14"/>
        <v>669083.10410970007</v>
      </c>
      <c r="F37" s="148">
        <f t="shared" si="14"/>
        <v>706551.75793984323</v>
      </c>
    </row>
    <row r="38" spans="1:6" x14ac:dyDescent="0.25">
      <c r="A38" s="60" t="s">
        <v>81</v>
      </c>
      <c r="B38" s="103">
        <f>B36-B37</f>
        <v>20053.815000000061</v>
      </c>
      <c r="C38" s="118">
        <f t="shared" ref="C38" si="15">C36-C37</f>
        <v>54295.704112500069</v>
      </c>
      <c r="D38" s="184">
        <f t="shared" ref="D38" si="16">D36-D37</f>
        <v>96874.96681125008</v>
      </c>
      <c r="E38" s="187">
        <f t="shared" ref="E38" si="17">E36-E37</f>
        <v>148283.28253241989</v>
      </c>
      <c r="F38" s="103">
        <f t="shared" ref="F38" si="18">F36-F37</f>
        <v>208753.92848222645</v>
      </c>
    </row>
    <row r="39" spans="1:6" x14ac:dyDescent="0.25">
      <c r="A39" s="33" t="s">
        <v>82</v>
      </c>
      <c r="B39" s="73">
        <f>'02_Historical_IS_BS_CF'!$F$10</f>
        <v>8379</v>
      </c>
      <c r="C39" s="73">
        <f>'02_Historical_IS_BS_CF'!$F$10</f>
        <v>8379</v>
      </c>
      <c r="D39" s="73">
        <f>'02_Historical_IS_BS_CF'!$F$10</f>
        <v>8379</v>
      </c>
      <c r="E39" s="73">
        <f>'02_Historical_IS_BS_CF'!$F$10</f>
        <v>8379</v>
      </c>
      <c r="F39" s="73">
        <f>'02_Historical_IS_BS_CF'!$F$10</f>
        <v>8379</v>
      </c>
    </row>
    <row r="40" spans="1:6" ht="15.75" thickBot="1" x14ac:dyDescent="0.3">
      <c r="A40" s="86" t="s">
        <v>198</v>
      </c>
      <c r="B40" s="183">
        <f>B38+B39</f>
        <v>28432.815000000061</v>
      </c>
      <c r="C40" s="183">
        <f t="shared" ref="C40" si="19">C38+C39</f>
        <v>62674.704112500069</v>
      </c>
      <c r="D40" s="183">
        <f t="shared" ref="D40" si="20">D38+D39</f>
        <v>105253.96681125008</v>
      </c>
      <c r="E40" s="183">
        <f t="shared" ref="E40" si="21">E38+E39</f>
        <v>156662.28253241989</v>
      </c>
      <c r="F40" s="183">
        <f t="shared" ref="F40" si="22">F38+F39</f>
        <v>217132.92848222645</v>
      </c>
    </row>
    <row r="41" spans="1:6" ht="15.75" thickTop="1" x14ac:dyDescent="0.25">
      <c r="A41" s="75" t="s">
        <v>85</v>
      </c>
      <c r="B41" s="184">
        <f>IF(B40&lt;=0,B40,B40-(B40*B28))</f>
        <v>27011.174250000058</v>
      </c>
      <c r="C41" s="184">
        <f t="shared" ref="C41" si="23">IF(C40&lt;=0,C40,C40-(C40*C28))</f>
        <v>57190.667502656317</v>
      </c>
      <c r="D41" s="184">
        <f t="shared" ref="D41" si="24">IF(D40&lt;=0,D40,D40-(D40*D28))</f>
        <v>92097.22095984382</v>
      </c>
      <c r="E41" s="184">
        <f t="shared" ref="E41" si="25">IF(E40&lt;=0,E40,E40-(E40*E28))</f>
        <v>131204.66162090166</v>
      </c>
      <c r="F41" s="184">
        <f t="shared" ref="F41" si="26">IF(F40&lt;=0,F40,F40-(F40*F28))</f>
        <v>173706.34278578116</v>
      </c>
    </row>
    <row r="42" spans="1:6" x14ac:dyDescent="0.25">
      <c r="A42" s="181"/>
      <c r="B42" s="168"/>
      <c r="C42" s="168"/>
      <c r="D42" s="168"/>
      <c r="E42" s="168"/>
      <c r="F42" s="168"/>
    </row>
    <row r="43" spans="1:6" x14ac:dyDescent="0.25">
      <c r="A43" s="181"/>
      <c r="B43" s="168"/>
      <c r="C43" s="168"/>
      <c r="D43" s="168"/>
      <c r="E43" s="168"/>
      <c r="F43" s="168"/>
    </row>
    <row r="44" spans="1:6" ht="15.75" x14ac:dyDescent="0.25">
      <c r="A44" s="170" t="s">
        <v>193</v>
      </c>
    </row>
    <row r="45" spans="1:6" x14ac:dyDescent="0.25">
      <c r="A45" s="33" t="s">
        <v>19</v>
      </c>
      <c r="B45" s="175">
        <f>SUMIFS('10_Data_Sources'!$E$5:$E$154,'10_Data_Sources'!$A$5:$A$154,"revenue_growth_pct",'10_Data_Sources'!$C$5:$C$154,"worst",'10_Data_Sources'!$D$5:$D$154,B$53)</f>
        <v>0.08</v>
      </c>
      <c r="C45" s="175">
        <f>SUMIFS('10_Data_Sources'!$E$5:$E$154,'10_Data_Sources'!$A$5:$A$154,"revenue_growth_pct",'10_Data_Sources'!$C$5:$C$154,"worst",'10_Data_Sources'!$D$5:$D$154,C$53)</f>
        <v>6.7500000000000004E-2</v>
      </c>
      <c r="D45" s="175">
        <f>SUMIFS('10_Data_Sources'!$E$5:$E$154,'10_Data_Sources'!$A$5:$A$154,"revenue_growth_pct",'10_Data_Sources'!$C$5:$C$154,"worst",'10_Data_Sources'!$D$5:$D$154,D$53)</f>
        <v>5.5E-2</v>
      </c>
      <c r="E45" s="175">
        <f>SUMIFS('10_Data_Sources'!$E$5:$E$154,'10_Data_Sources'!$A$5:$A$154,"revenue_growth_pct",'10_Data_Sources'!$C$5:$C$154,"worst",'10_Data_Sources'!$D$5:$D$154,E$53)</f>
        <v>4.2500000000000003E-2</v>
      </c>
      <c r="F45" s="175">
        <f>SUMIFS('10_Data_Sources'!$E$5:$E$154,'10_Data_Sources'!$A$5:$A$154,"revenue_growth_pct",'10_Data_Sources'!$C$5:$C$154,"worst",'10_Data_Sources'!$D$5:$D$154,F$53)</f>
        <v>0.03</v>
      </c>
    </row>
    <row r="46" spans="1:6" x14ac:dyDescent="0.25">
      <c r="A46" s="174" t="s">
        <v>26</v>
      </c>
      <c r="B46" s="177">
        <f>SUMIFS('10_Data_Sources'!$E$5:$E$154,'10_Data_Sources'!$A$5:$A$154,"gross_margin_pct",'10_Data_Sources'!$C$5:$C$154,"worst",'10_Data_Sources'!$D$5:$D$154,B$53)</f>
        <v>0.53500000000000003</v>
      </c>
      <c r="C46" s="177">
        <f>SUMIFS('10_Data_Sources'!$E$5:$E$154,'10_Data_Sources'!$A$5:$A$154,"gross_margin_pct",'10_Data_Sources'!$C$5:$C$154,"worst",'10_Data_Sources'!$D$5:$D$154,C$53)</f>
        <v>0.52875000000000005</v>
      </c>
      <c r="D46" s="177">
        <f>SUMIFS('10_Data_Sources'!$E$5:$E$154,'10_Data_Sources'!$A$5:$A$154,"gross_margin_pct",'10_Data_Sources'!$C$5:$C$154,"worst",'10_Data_Sources'!$D$5:$D$154,D$53)</f>
        <v>0.52249999999999996</v>
      </c>
      <c r="E46" s="177">
        <f>SUMIFS('10_Data_Sources'!$E$5:$E$154,'10_Data_Sources'!$A$5:$A$154,"gross_margin_pct",'10_Data_Sources'!$C$5:$C$154,"worst",'10_Data_Sources'!$D$5:$D$154,E$53)</f>
        <v>0.51624999999999999</v>
      </c>
      <c r="F46" s="176">
        <f>SUMIFS('10_Data_Sources'!$E$5:$E$154,'10_Data_Sources'!$A$5:$A$154,"gross_margin_pct",'10_Data_Sources'!$C$5:$C$154,"worst",'10_Data_Sources'!$D$5:$D$154,F$53)</f>
        <v>0.51</v>
      </c>
    </row>
    <row r="47" spans="1:6" x14ac:dyDescent="0.25">
      <c r="A47" s="179" t="s">
        <v>30</v>
      </c>
      <c r="B47" s="180">
        <f>SUMIFS('10_Data_Sources'!$E$5:$E$154,'10_Data_Sources'!$A$5:$A$154,"sga_pct_revenue",'10_Data_Sources'!$C$5:$C$154,"worst",'10_Data_Sources'!$D$5:$D$154,B$53)</f>
        <v>0.54500000000000004</v>
      </c>
      <c r="C47" s="180">
        <f>SUMIFS('10_Data_Sources'!$E$5:$E$154,'10_Data_Sources'!$A$5:$A$154,"sga_pct_revenue",'10_Data_Sources'!$C$5:$C$154,"worst",'10_Data_Sources'!$D$5:$D$154,C$53)</f>
        <v>0.54500000000000004</v>
      </c>
      <c r="D47" s="175">
        <f>SUMIFS('10_Data_Sources'!$E$5:$E$154,'10_Data_Sources'!$A$5:$A$154,"sga_pct_revenue",'10_Data_Sources'!$C$5:$C$154,"worst",'10_Data_Sources'!$D$5:$D$154,D$53)</f>
        <v>0.54500000000000004</v>
      </c>
      <c r="E47" s="175">
        <f>SUMIFS('10_Data_Sources'!$E$5:$E$154,'10_Data_Sources'!$A$5:$A$154,"sga_pct_revenue",'10_Data_Sources'!$C$5:$C$154,"worst",'10_Data_Sources'!$D$5:$D$154,E$53)</f>
        <v>0.54500000000000004</v>
      </c>
      <c r="F47" s="171">
        <f>SUMIFS('10_Data_Sources'!$E$5:$E$154,'10_Data_Sources'!$A$5:$A$154,"sga_pct_revenue",'10_Data_Sources'!$C$5:$C$154,"worst",'10_Data_Sources'!$D$5:$D$154,F$53)</f>
        <v>0.54500000000000004</v>
      </c>
    </row>
    <row r="48" spans="1:6" x14ac:dyDescent="0.25">
      <c r="A48" s="33" t="s">
        <v>190</v>
      </c>
      <c r="B48" s="175">
        <f>SUMIFS('10_Data_Sources'!$E$5:$E$154,'10_Data_Sources'!$A$5:$A$154,"effective_tax_rate_pct",'10_Data_Sources'!$C$5:$C$154,"worst",'10_Data_Sources'!$D$5:$D$154,B$53)</f>
        <v>0.12</v>
      </c>
      <c r="C48" s="175">
        <f>SUMIFS('10_Data_Sources'!$E$5:$E$154,'10_Data_Sources'!$A$5:$A$154,"effective_tax_rate_pct",'10_Data_Sources'!$C$5:$C$154,"worst",'10_Data_Sources'!$D$5:$D$154,C$53)</f>
        <v>0.1575</v>
      </c>
      <c r="D48" s="176">
        <f>SUMIFS('10_Data_Sources'!$E$5:$E$154,'10_Data_Sources'!$A$5:$A$154,"effective_tax_rate_pct",'10_Data_Sources'!$C$5:$C$154,"worst",'10_Data_Sources'!$D$5:$D$154,D$53)</f>
        <v>0.19500000000000001</v>
      </c>
      <c r="E48" s="175">
        <f>SUMIFS('10_Data_Sources'!$E$5:$E$154,'10_Data_Sources'!$A$5:$A$154,"effective_tax_rate_pct",'10_Data_Sources'!$C$5:$C$154,"worst",'10_Data_Sources'!$D$5:$D$154,E$53)</f>
        <v>0.23250000000000001</v>
      </c>
      <c r="F48" s="171">
        <f>SUMIFS('10_Data_Sources'!$E$5:$E$154,'10_Data_Sources'!$A$5:$A$154,"effective_tax_rate_pct",'10_Data_Sources'!$C$5:$C$154,"worst",'10_Data_Sources'!$D$5:$D$154,F$53)</f>
        <v>0.27</v>
      </c>
    </row>
    <row r="53" spans="1:6" x14ac:dyDescent="0.25">
      <c r="B53" s="143">
        <v>2026</v>
      </c>
      <c r="C53" s="143">
        <f>B53+1</f>
        <v>2027</v>
      </c>
      <c r="D53" s="143">
        <f t="shared" ref="D53:F53" si="27">C53+1</f>
        <v>2028</v>
      </c>
      <c r="E53" s="143">
        <f t="shared" si="27"/>
        <v>2029</v>
      </c>
      <c r="F53" s="143">
        <f t="shared" si="27"/>
        <v>2030</v>
      </c>
    </row>
    <row r="54" spans="1:6" x14ac:dyDescent="0.25">
      <c r="A54" s="37" t="s">
        <v>77</v>
      </c>
      <c r="B54" s="148">
        <f>'02_Historical_IS_BS_CF'!$F$5*(1+B45)</f>
        <v>941657.4</v>
      </c>
      <c r="C54" s="149">
        <f>B54*(1+C45)</f>
        <v>1005219.2744999999</v>
      </c>
      <c r="D54" s="167">
        <f t="shared" ref="D54:F54" si="28">C54*(1+D45)</f>
        <v>1060506.3345974998</v>
      </c>
      <c r="E54" s="168">
        <f t="shared" si="28"/>
        <v>1105577.8538178934</v>
      </c>
      <c r="F54" s="147">
        <f t="shared" si="28"/>
        <v>1138745.1894324303</v>
      </c>
    </row>
    <row r="55" spans="1:6" x14ac:dyDescent="0.25">
      <c r="A55" s="59" t="s">
        <v>78</v>
      </c>
      <c r="B55" s="167">
        <f>B54*(1-B46)</f>
        <v>437870.69099999999</v>
      </c>
      <c r="C55" s="168">
        <f t="shared" ref="C55" si="29">C54*(1-C46)</f>
        <v>473709.58310812491</v>
      </c>
      <c r="D55" s="148">
        <f t="shared" ref="D55" si="30">D54*(1-D46)</f>
        <v>506391.77477030619</v>
      </c>
      <c r="E55" s="169">
        <f t="shared" ref="E55" si="31">E54*(1-E46)</f>
        <v>534823.28678440594</v>
      </c>
      <c r="F55" s="148">
        <f t="shared" ref="F55" si="32">F54*(1-F46)</f>
        <v>557985.14282189088</v>
      </c>
    </row>
    <row r="56" spans="1:6" x14ac:dyDescent="0.25">
      <c r="A56" s="60" t="s">
        <v>79</v>
      </c>
      <c r="B56" s="103">
        <f>B54-B55</f>
        <v>503786.70900000003</v>
      </c>
      <c r="C56" s="118">
        <f t="shared" ref="C56" si="33">C54-C55</f>
        <v>531509.69139187504</v>
      </c>
      <c r="D56" s="185">
        <f t="shared" ref="D56" si="34">D54-D55</f>
        <v>554114.55982719362</v>
      </c>
      <c r="E56" s="186">
        <f t="shared" ref="E56" si="35">E54-E55</f>
        <v>570754.56703348749</v>
      </c>
      <c r="F56" s="185">
        <f t="shared" ref="F56" si="36">F54-F55</f>
        <v>580760.04661053943</v>
      </c>
    </row>
    <row r="57" spans="1:6" x14ac:dyDescent="0.25">
      <c r="A57" s="59" t="s">
        <v>191</v>
      </c>
      <c r="B57" s="167">
        <f>B54*B47</f>
        <v>513203.28300000005</v>
      </c>
      <c r="C57" s="168">
        <f t="shared" ref="C57:F57" si="37">C54*C47</f>
        <v>547844.5046025</v>
      </c>
      <c r="D57" s="148">
        <f t="shared" si="37"/>
        <v>577975.95235563745</v>
      </c>
      <c r="E57" s="169">
        <f t="shared" si="37"/>
        <v>602539.93033075193</v>
      </c>
      <c r="F57" s="148">
        <f t="shared" si="37"/>
        <v>620616.12824067462</v>
      </c>
    </row>
    <row r="58" spans="1:6" x14ac:dyDescent="0.25">
      <c r="A58" s="60" t="s">
        <v>81</v>
      </c>
      <c r="B58" s="103">
        <f>B56-B57</f>
        <v>-9416.5740000000224</v>
      </c>
      <c r="C58" s="118">
        <f t="shared" ref="C58" si="38">C56-C57</f>
        <v>-16334.813210624969</v>
      </c>
      <c r="D58" s="184">
        <f t="shared" ref="D58" si="39">D56-D57</f>
        <v>-23861.39252844383</v>
      </c>
      <c r="E58" s="187">
        <f t="shared" ref="E58" si="40">E56-E57</f>
        <v>-31785.363297264441</v>
      </c>
      <c r="F58" s="103">
        <f t="shared" ref="F58" si="41">F56-F57</f>
        <v>-39856.081630135188</v>
      </c>
    </row>
    <row r="59" spans="1:6" x14ac:dyDescent="0.25">
      <c r="A59" s="33" t="s">
        <v>82</v>
      </c>
      <c r="B59" s="73">
        <f>'02_Historical_IS_BS_CF'!$F$10</f>
        <v>8379</v>
      </c>
      <c r="C59" s="73">
        <f>'02_Historical_IS_BS_CF'!$F$10</f>
        <v>8379</v>
      </c>
      <c r="D59" s="73">
        <f>'02_Historical_IS_BS_CF'!$F$10</f>
        <v>8379</v>
      </c>
      <c r="E59" s="73">
        <f>'02_Historical_IS_BS_CF'!$F$10</f>
        <v>8379</v>
      </c>
      <c r="F59" s="73">
        <f>'02_Historical_IS_BS_CF'!$F$10</f>
        <v>8379</v>
      </c>
    </row>
    <row r="60" spans="1:6" ht="15.75" thickBot="1" x14ac:dyDescent="0.3">
      <c r="A60" s="86" t="s">
        <v>198</v>
      </c>
      <c r="B60" s="183">
        <f>B58+B59</f>
        <v>-1037.5740000000224</v>
      </c>
      <c r="C60" s="183">
        <f t="shared" ref="C60" si="42">C58+C59</f>
        <v>-7955.8132106249686</v>
      </c>
      <c r="D60" s="183">
        <f t="shared" ref="D60" si="43">D58+D59</f>
        <v>-15482.39252844383</v>
      </c>
      <c r="E60" s="183">
        <f t="shared" ref="E60" si="44">E58+E59</f>
        <v>-23406.363297264441</v>
      </c>
      <c r="F60" s="183">
        <f t="shared" ref="F60" si="45">F58+F59</f>
        <v>-31477.081630135188</v>
      </c>
    </row>
    <row r="61" spans="1:6" ht="15.75" thickTop="1" x14ac:dyDescent="0.25">
      <c r="A61" s="75" t="s">
        <v>85</v>
      </c>
      <c r="B61" s="184">
        <f>IF(B60&lt;=0,B60,B60-(B60*B48))</f>
        <v>-1037.5740000000224</v>
      </c>
      <c r="C61" s="184">
        <f t="shared" ref="C61" si="46">IF(C60&lt;=0,C60,C60-(C60*C48))</f>
        <v>-7955.8132106249686</v>
      </c>
      <c r="D61" s="184">
        <f t="shared" ref="D61" si="47">IF(D60&lt;=0,D60,D60-(D60*D48))</f>
        <v>-15482.39252844383</v>
      </c>
      <c r="E61" s="184">
        <f t="shared" ref="E61" si="48">IF(E60&lt;=0,E60,E60-(E60*E48))</f>
        <v>-23406.363297264441</v>
      </c>
      <c r="F61" s="184">
        <f t="shared" ref="F61" si="49">IF(F60&lt;=0,F60,F60-(F60*F48))</f>
        <v>-31477.081630135188</v>
      </c>
    </row>
    <row r="64" spans="1:6" ht="15.75" x14ac:dyDescent="0.25">
      <c r="A64" s="22" t="s">
        <v>194</v>
      </c>
    </row>
    <row r="65" spans="1:4" x14ac:dyDescent="0.25">
      <c r="A65" s="163" t="s">
        <v>195</v>
      </c>
      <c r="B65" s="143" t="s">
        <v>71</v>
      </c>
      <c r="C65" s="143" t="s">
        <v>196</v>
      </c>
      <c r="D65" s="143" t="s">
        <v>186</v>
      </c>
    </row>
    <row r="66" spans="1:4" x14ac:dyDescent="0.25">
      <c r="A66" s="31" t="s">
        <v>77</v>
      </c>
      <c r="B66" s="148">
        <f>F14</f>
        <v>1402906.3470174635</v>
      </c>
      <c r="C66" s="148">
        <f>F34</f>
        <v>1605799.4498632802</v>
      </c>
      <c r="D66" s="148">
        <f>F54</f>
        <v>1138745.1894324303</v>
      </c>
    </row>
    <row r="67" spans="1:4" x14ac:dyDescent="0.25">
      <c r="A67" s="31" t="s">
        <v>85</v>
      </c>
      <c r="B67" s="148">
        <f>F21</f>
        <v>81002.657661329184</v>
      </c>
      <c r="C67" s="148">
        <f>F41</f>
        <v>173706.34278578116</v>
      </c>
      <c r="D67" s="148">
        <f>F61</f>
        <v>-31477.081630135188</v>
      </c>
    </row>
    <row r="68" spans="1:4" x14ac:dyDescent="0.25">
      <c r="A68" s="31" t="s">
        <v>197</v>
      </c>
      <c r="B68" s="175">
        <f>B67/B66</f>
        <v>5.7739176840662515E-2</v>
      </c>
      <c r="C68" s="175">
        <f>C67/C66</f>
        <v>0.10817436934641542</v>
      </c>
      <c r="D68" s="175">
        <f>D67/D66</f>
        <v>-2.7641900859158748E-2</v>
      </c>
    </row>
  </sheetData>
  <conditionalFormatting sqref="B19:F19">
    <cfRule type="expression" dxfId="16" priority="12">
      <formula>ISEVEN(ROW())</formula>
    </cfRule>
  </conditionalFormatting>
  <conditionalFormatting sqref="B39:F39">
    <cfRule type="expression" dxfId="15" priority="11">
      <formula>"ISEVEN(ROW())"</formula>
    </cfRule>
  </conditionalFormatting>
  <conditionalFormatting sqref="B59:F59">
    <cfRule type="expression" dxfId="14" priority="10">
      <formula>"ISEVEN(ROW())"</formula>
    </cfRule>
  </conditionalFormatting>
  <conditionalFormatting sqref="A5:F8">
    <cfRule type="expression" dxfId="13" priority="9">
      <formula>ISEVEN(ROW())</formula>
    </cfRule>
  </conditionalFormatting>
  <conditionalFormatting sqref="A54:F61">
    <cfRule type="expression" dxfId="12" priority="7">
      <formula>"ISEVEN(ROW())"</formula>
    </cfRule>
  </conditionalFormatting>
  <conditionalFormatting sqref="A14:F20">
    <cfRule type="expression" dxfId="11" priority="6">
      <formula>ISEVEN(ROW())</formula>
    </cfRule>
  </conditionalFormatting>
  <conditionalFormatting sqref="A25:F28">
    <cfRule type="expression" dxfId="10" priority="5">
      <formula>ISEVEN(ROW())</formula>
    </cfRule>
  </conditionalFormatting>
  <conditionalFormatting sqref="A34:F40">
    <cfRule type="expression" dxfId="9" priority="4">
      <formula>ISEVEN(ROW())</formula>
    </cfRule>
  </conditionalFormatting>
  <conditionalFormatting sqref="A45:F48">
    <cfRule type="expression" dxfId="8" priority="3">
      <formula>ISEVEN(ROW())</formula>
    </cfRule>
  </conditionalFormatting>
  <conditionalFormatting sqref="A54:F60">
    <cfRule type="expression" dxfId="7" priority="2">
      <formula>ISEVEN(ROW())</formula>
    </cfRule>
  </conditionalFormatting>
  <conditionalFormatting sqref="A66:D68">
    <cfRule type="expression" dxfId="6" priority="1">
      <formula>ISEVEN(ROW())</formula>
    </cfRule>
  </conditionalFormatting>
  <pageMargins left="0.7" right="0.7" top="0.75" bottom="0.75" header="0.3" footer="0.3"/>
  <pageSetup orientation="portrait" r:id="rId1"/>
  <ignoredErrors>
    <ignoredError sqref="B17:F17 B37:F37 B57:F5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D640-D615-48AD-9693-E1055219F564}">
  <dimension ref="A1:J38"/>
  <sheetViews>
    <sheetView showGridLines="0" workbookViewId="0">
      <selection activeCell="M23" sqref="M23"/>
    </sheetView>
  </sheetViews>
  <sheetFormatPr defaultRowHeight="15" x14ac:dyDescent="0.25"/>
  <cols>
    <col min="1" max="1" width="24.7109375" bestFit="1" customWidth="1"/>
    <col min="2" max="2" width="16.5703125" customWidth="1"/>
    <col min="3" max="6" width="16.7109375" customWidth="1"/>
  </cols>
  <sheetData>
    <row r="1" spans="1:10" ht="40.5" customHeight="1" x14ac:dyDescent="0.35">
      <c r="A1" s="213" t="s">
        <v>199</v>
      </c>
      <c r="B1" s="213"/>
      <c r="C1" s="213"/>
      <c r="D1" s="213"/>
      <c r="E1" s="213"/>
      <c r="F1" s="212"/>
      <c r="G1" s="212"/>
      <c r="H1" s="212"/>
      <c r="I1" s="212"/>
      <c r="J1" s="212"/>
    </row>
    <row r="2" spans="1:10" x14ac:dyDescent="0.25">
      <c r="A2" s="215" t="s">
        <v>200</v>
      </c>
      <c r="B2" s="215"/>
      <c r="D2" s="81" t="str">
        <f>'00_Control_Panel'!C4</f>
        <v>Best</v>
      </c>
      <c r="E2" s="87"/>
    </row>
    <row r="4" spans="1:10" x14ac:dyDescent="0.25">
      <c r="A4" s="214" t="s">
        <v>201</v>
      </c>
    </row>
    <row r="5" spans="1:10" x14ac:dyDescent="0.25">
      <c r="A5" s="163" t="s">
        <v>195</v>
      </c>
      <c r="B5" s="143">
        <v>2026</v>
      </c>
      <c r="C5" s="143">
        <v>2030</v>
      </c>
      <c r="D5" s="143" t="s">
        <v>202</v>
      </c>
    </row>
    <row r="6" spans="1:10" x14ac:dyDescent="0.25">
      <c r="A6" s="220" t="s">
        <v>77</v>
      </c>
      <c r="B6" s="221">
        <f>'03_Forecast_IS'!B6</f>
        <v>1002690.7499999999</v>
      </c>
      <c r="C6" s="221">
        <f>'03_Forecast_IS'!F6</f>
        <v>1605799.4498632802</v>
      </c>
      <c r="D6" s="222">
        <f>C6/B6-1</f>
        <v>0.6014902400000004</v>
      </c>
    </row>
    <row r="7" spans="1:10" x14ac:dyDescent="0.25">
      <c r="A7" s="223" t="s">
        <v>79</v>
      </c>
      <c r="B7" s="224">
        <f>'03_Forecast_IS'!B8</f>
        <v>551479.91249999998</v>
      </c>
      <c r="C7" s="224">
        <f>'03_Forecast_IS'!F8</f>
        <v>915305.68642206967</v>
      </c>
      <c r="D7" s="225">
        <f>C7/B7-1</f>
        <v>0.65972624872727303</v>
      </c>
    </row>
    <row r="8" spans="1:10" x14ac:dyDescent="0.25">
      <c r="A8" s="220" t="s">
        <v>81</v>
      </c>
      <c r="B8" s="221">
        <f>'03_Forecast_IS'!B10</f>
        <v>20053.815000000061</v>
      </c>
      <c r="C8" s="221">
        <f>'03_Forecast_IS'!F10</f>
        <v>208753.92848222645</v>
      </c>
      <c r="D8" s="222">
        <f>C8/B8-1</f>
        <v>9.4096865599999706</v>
      </c>
    </row>
    <row r="9" spans="1:10" x14ac:dyDescent="0.25">
      <c r="A9" s="220" t="s">
        <v>85</v>
      </c>
      <c r="B9" s="221">
        <f>'03_Forecast_IS'!B14</f>
        <v>27011.174250000058</v>
      </c>
      <c r="C9" s="221">
        <f>'03_Forecast_IS'!F14</f>
        <v>173706.34278578116</v>
      </c>
      <c r="D9" s="222">
        <f>C9/B9-1</f>
        <v>5.4309067491125749</v>
      </c>
    </row>
    <row r="11" spans="1:10" x14ac:dyDescent="0.25">
      <c r="B11" s="143">
        <v>2026</v>
      </c>
      <c r="C11" s="143">
        <f>B11+1</f>
        <v>2027</v>
      </c>
      <c r="D11" s="143">
        <f t="shared" ref="D11:F11" si="0">C11+1</f>
        <v>2028</v>
      </c>
      <c r="E11" s="143">
        <f t="shared" si="0"/>
        <v>2029</v>
      </c>
      <c r="F11" s="143">
        <f t="shared" si="0"/>
        <v>2030</v>
      </c>
    </row>
    <row r="12" spans="1:10" x14ac:dyDescent="0.25">
      <c r="A12" s="220" t="s">
        <v>26</v>
      </c>
      <c r="B12" s="222">
        <f>'03_Forecast_IS'!B8/'03_Forecast_IS'!B6</f>
        <v>0.55000000000000004</v>
      </c>
      <c r="C12" s="222">
        <f>'03_Forecast_IS'!C8/'03_Forecast_IS'!C6</f>
        <v>0.55500000000000005</v>
      </c>
      <c r="D12" s="222">
        <f>'03_Forecast_IS'!D8/'03_Forecast_IS'!D6</f>
        <v>0.56000000000000005</v>
      </c>
      <c r="E12" s="222">
        <f>'03_Forecast_IS'!E8/'03_Forecast_IS'!E6</f>
        <v>0.56499999999999995</v>
      </c>
      <c r="F12" s="222">
        <f>'03_Forecast_IS'!F8/'03_Forecast_IS'!F6</f>
        <v>0.56999999999999995</v>
      </c>
    </row>
    <row r="13" spans="1:10" x14ac:dyDescent="0.25">
      <c r="A13" s="220" t="s">
        <v>203</v>
      </c>
      <c r="B13" s="222">
        <f>'03_Forecast_IS'!B10/'03_Forecast_IS'!B6</f>
        <v>2.0000000000000063E-2</v>
      </c>
      <c r="C13" s="222">
        <f>'03_Forecast_IS'!C10/'03_Forecast_IS'!C6</f>
        <v>4.7500000000000056E-2</v>
      </c>
      <c r="D13" s="222">
        <f>'03_Forecast_IS'!D10/'03_Forecast_IS'!D6</f>
        <v>7.5000000000000067E-2</v>
      </c>
      <c r="E13" s="222">
        <f>'03_Forecast_IS'!E10/'03_Forecast_IS'!E6</f>
        <v>0.10249999999999992</v>
      </c>
      <c r="F13" s="222">
        <f>'03_Forecast_IS'!F10/'03_Forecast_IS'!F6</f>
        <v>0.13</v>
      </c>
    </row>
    <row r="14" spans="1:10" x14ac:dyDescent="0.25">
      <c r="A14" s="220" t="s">
        <v>197</v>
      </c>
      <c r="B14" s="222">
        <f>'03_Forecast_IS'!B14/'03_Forecast_IS'!B6</f>
        <v>2.6938688972646913E-2</v>
      </c>
      <c r="C14" s="222">
        <f>'03_Forecast_IS'!C14/'03_Forecast_IS'!C6</f>
        <v>5.0032626904469357E-2</v>
      </c>
      <c r="D14" s="222">
        <f>'03_Forecast_IS'!D14/'03_Forecast_IS'!D6</f>
        <v>7.1301098718788411E-2</v>
      </c>
      <c r="E14" s="222">
        <f>'03_Forecast_IS'!E14/'03_Forecast_IS'!E6</f>
        <v>9.0694497629576723E-2</v>
      </c>
      <c r="F14" s="222">
        <f>'03_Forecast_IS'!F14/'03_Forecast_IS'!F6</f>
        <v>0.10817436934641542</v>
      </c>
    </row>
    <row r="17" spans="1:7" x14ac:dyDescent="0.25">
      <c r="A17" s="216" t="s">
        <v>205</v>
      </c>
      <c r="B17" s="217">
        <v>2026</v>
      </c>
      <c r="C17" s="217">
        <f>B17+1</f>
        <v>2027</v>
      </c>
      <c r="D17" s="217">
        <f t="shared" ref="D17:F17" si="1">C17+1</f>
        <v>2028</v>
      </c>
      <c r="E17" s="217">
        <f t="shared" si="1"/>
        <v>2029</v>
      </c>
      <c r="F17" s="217">
        <f t="shared" si="1"/>
        <v>2030</v>
      </c>
      <c r="G17" s="8"/>
    </row>
    <row r="18" spans="1:7" x14ac:dyDescent="0.25">
      <c r="A18" s="218" t="s">
        <v>77</v>
      </c>
      <c r="B18" s="219">
        <f>'03_Forecast_IS'!B6</f>
        <v>1002690.7499999999</v>
      </c>
      <c r="C18" s="219">
        <f>'03_Forecast_IS'!C6</f>
        <v>1143067.4550000001</v>
      </c>
      <c r="D18" s="219">
        <f>'03_Forecast_IS'!D6</f>
        <v>1291666.2241499999</v>
      </c>
      <c r="E18" s="219">
        <f>'03_Forecast_IS'!E6</f>
        <v>1446666.171048</v>
      </c>
      <c r="F18" s="219">
        <f>'03_Forecast_IS'!F6</f>
        <v>1605799.4498632802</v>
      </c>
    </row>
    <row r="19" spans="1:7" x14ac:dyDescent="0.25">
      <c r="A19" s="218" t="s">
        <v>85</v>
      </c>
      <c r="B19" s="219">
        <f>'03_Forecast_IS'!B14</f>
        <v>27011.174250000058</v>
      </c>
      <c r="C19" s="219">
        <f>'03_Forecast_IS'!C14</f>
        <v>57190.667502656317</v>
      </c>
      <c r="D19" s="219">
        <f>'03_Forecast_IS'!D14</f>
        <v>92097.22095984382</v>
      </c>
      <c r="E19" s="219">
        <f>'03_Forecast_IS'!E14</f>
        <v>131204.66162090166</v>
      </c>
      <c r="F19" s="219">
        <f>'03_Forecast_IS'!F14</f>
        <v>173706.34278578116</v>
      </c>
    </row>
    <row r="35" spans="1:4" ht="15.75" x14ac:dyDescent="0.25">
      <c r="A35" s="162" t="s">
        <v>204</v>
      </c>
    </row>
    <row r="36" spans="1:4" x14ac:dyDescent="0.25">
      <c r="A36" s="163" t="s">
        <v>195</v>
      </c>
      <c r="B36" s="143" t="s">
        <v>71</v>
      </c>
      <c r="C36" s="143" t="s">
        <v>196</v>
      </c>
      <c r="D36" s="143" t="s">
        <v>186</v>
      </c>
    </row>
    <row r="37" spans="1:4" x14ac:dyDescent="0.25">
      <c r="A37" t="s">
        <v>77</v>
      </c>
      <c r="B37" s="144">
        <f>'08_Scenario_Planner'!F14</f>
        <v>1402906.3470174635</v>
      </c>
      <c r="C37" s="144">
        <f>'08_Scenario_Planner'!F34</f>
        <v>1605799.4498632802</v>
      </c>
      <c r="D37" s="144">
        <f>'08_Scenario_Planner'!F54</f>
        <v>1138745.1894324303</v>
      </c>
    </row>
    <row r="38" spans="1:4" x14ac:dyDescent="0.25">
      <c r="A38" t="s">
        <v>85</v>
      </c>
      <c r="B38" s="144">
        <f>'08_Scenario_Planner'!F21</f>
        <v>81002.657661329184</v>
      </c>
      <c r="C38" s="144">
        <f>'08_Scenario_Planner'!F41</f>
        <v>173706.34278578116</v>
      </c>
      <c r="D38" s="144">
        <f>'08_Scenario_Planner'!F61</f>
        <v>-31477.081630135188</v>
      </c>
    </row>
  </sheetData>
  <mergeCells count="2">
    <mergeCell ref="A2:B2"/>
    <mergeCell ref="A1:E1"/>
  </mergeCells>
  <conditionalFormatting sqref="A6:D9">
    <cfRule type="expression" dxfId="5" priority="4">
      <formula>ISEVEN(ROW())</formula>
    </cfRule>
  </conditionalFormatting>
  <conditionalFormatting sqref="A12:F14">
    <cfRule type="expression" dxfId="3" priority="3">
      <formula>ISEVEN(ROW())</formula>
    </cfRule>
  </conditionalFormatting>
  <conditionalFormatting sqref="A37:D38">
    <cfRule type="expression" dxfId="2" priority="2">
      <formula>ISEVEN(ROW())</formula>
    </cfRule>
    <cfRule type="expression" dxfId="1" priority="1">
      <formula>ISEVEN(ROW())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1"/>
  <sheetViews>
    <sheetView showGridLines="0" zoomScaleNormal="100" workbookViewId="0">
      <pane ySplit="4" topLeftCell="A5" activePane="bottomLeft" state="frozen"/>
      <selection pane="bottomLeft" activeCell="I165" sqref="I165"/>
    </sheetView>
  </sheetViews>
  <sheetFormatPr defaultRowHeight="15" x14ac:dyDescent="0.25"/>
  <cols>
    <col min="1" max="1" width="32.85546875" bestFit="1" customWidth="1"/>
    <col min="2" max="2" width="51.28515625" bestFit="1" customWidth="1"/>
    <col min="3" max="5" width="13.140625" bestFit="1" customWidth="1"/>
    <col min="6" max="6" width="24.140625" customWidth="1"/>
  </cols>
  <sheetData>
    <row r="1" spans="1:6" ht="15.75" x14ac:dyDescent="0.25">
      <c r="A1" s="19" t="s">
        <v>63</v>
      </c>
    </row>
    <row r="3" spans="1:6" ht="15.75" x14ac:dyDescent="0.25">
      <c r="A3" s="19" t="s">
        <v>62</v>
      </c>
      <c r="B3" s="16"/>
      <c r="C3" s="16"/>
      <c r="D3" s="16"/>
      <c r="E3" s="16"/>
      <c r="F3" s="16"/>
    </row>
    <row r="4" spans="1:6" x14ac:dyDescent="0.25">
      <c r="A4" s="17" t="s">
        <v>0</v>
      </c>
      <c r="B4" s="17" t="s">
        <v>14</v>
      </c>
      <c r="C4" s="17" t="s">
        <v>15</v>
      </c>
      <c r="D4" s="17" t="s">
        <v>16</v>
      </c>
      <c r="E4" s="17" t="s">
        <v>17</v>
      </c>
      <c r="F4" s="17" t="s">
        <v>18</v>
      </c>
    </row>
    <row r="5" spans="1:6" x14ac:dyDescent="0.25">
      <c r="A5" s="18" t="s">
        <v>1</v>
      </c>
      <c r="B5" s="18" t="s">
        <v>19</v>
      </c>
      <c r="C5" s="18" t="s">
        <v>20</v>
      </c>
      <c r="D5" s="18">
        <v>2026</v>
      </c>
      <c r="E5" s="18">
        <v>0.13</v>
      </c>
      <c r="F5" s="18" t="s">
        <v>21</v>
      </c>
    </row>
    <row r="6" spans="1:6" x14ac:dyDescent="0.25">
      <c r="A6" s="18" t="s">
        <v>1</v>
      </c>
      <c r="B6" s="18" t="s">
        <v>19</v>
      </c>
      <c r="C6" s="18" t="s">
        <v>20</v>
      </c>
      <c r="D6" s="18">
        <v>2027</v>
      </c>
      <c r="E6" s="18">
        <v>0.115</v>
      </c>
      <c r="F6" s="18" t="s">
        <v>21</v>
      </c>
    </row>
    <row r="7" spans="1:6" x14ac:dyDescent="0.25">
      <c r="A7" s="18" t="s">
        <v>1</v>
      </c>
      <c r="B7" s="18" t="s">
        <v>19</v>
      </c>
      <c r="C7" s="18" t="s">
        <v>20</v>
      </c>
      <c r="D7" s="18">
        <v>2028</v>
      </c>
      <c r="E7" s="18">
        <v>0.1</v>
      </c>
      <c r="F7" s="18" t="s">
        <v>21</v>
      </c>
    </row>
    <row r="8" spans="1:6" x14ac:dyDescent="0.25">
      <c r="A8" s="18" t="s">
        <v>1</v>
      </c>
      <c r="B8" s="18" t="s">
        <v>19</v>
      </c>
      <c r="C8" s="18" t="s">
        <v>20</v>
      </c>
      <c r="D8" s="18">
        <v>2029</v>
      </c>
      <c r="E8" s="18">
        <v>8.5000000000000006E-2</v>
      </c>
      <c r="F8" s="18" t="s">
        <v>21</v>
      </c>
    </row>
    <row r="9" spans="1:6" x14ac:dyDescent="0.25">
      <c r="A9" s="18" t="s">
        <v>1</v>
      </c>
      <c r="B9" s="18" t="s">
        <v>19</v>
      </c>
      <c r="C9" s="18" t="s">
        <v>20</v>
      </c>
      <c r="D9" s="18">
        <v>2030</v>
      </c>
      <c r="E9" s="18">
        <v>7.0000000000000007E-2</v>
      </c>
      <c r="F9" s="18" t="s">
        <v>21</v>
      </c>
    </row>
    <row r="10" spans="1:6" x14ac:dyDescent="0.25">
      <c r="A10" s="18" t="s">
        <v>1</v>
      </c>
      <c r="B10" s="18" t="s">
        <v>19</v>
      </c>
      <c r="C10" s="18" t="s">
        <v>22</v>
      </c>
      <c r="D10" s="18">
        <v>2026</v>
      </c>
      <c r="E10" s="18">
        <v>0.15</v>
      </c>
      <c r="F10" s="18" t="s">
        <v>23</v>
      </c>
    </row>
    <row r="11" spans="1:6" x14ac:dyDescent="0.25">
      <c r="A11" s="18" t="s">
        <v>1</v>
      </c>
      <c r="B11" s="18" t="s">
        <v>19</v>
      </c>
      <c r="C11" s="18" t="s">
        <v>22</v>
      </c>
      <c r="D11" s="18">
        <v>2027</v>
      </c>
      <c r="E11" s="18">
        <v>0.14000000000000001</v>
      </c>
      <c r="F11" s="18" t="s">
        <v>23</v>
      </c>
    </row>
    <row r="12" spans="1:6" x14ac:dyDescent="0.25">
      <c r="A12" s="18" t="s">
        <v>1</v>
      </c>
      <c r="B12" s="18" t="s">
        <v>19</v>
      </c>
      <c r="C12" s="18" t="s">
        <v>22</v>
      </c>
      <c r="D12" s="18">
        <v>2028</v>
      </c>
      <c r="E12" s="18">
        <v>0.13</v>
      </c>
      <c r="F12" s="18" t="s">
        <v>23</v>
      </c>
    </row>
    <row r="13" spans="1:6" x14ac:dyDescent="0.25">
      <c r="A13" s="18" t="s">
        <v>1</v>
      </c>
      <c r="B13" s="18" t="s">
        <v>19</v>
      </c>
      <c r="C13" s="18" t="s">
        <v>22</v>
      </c>
      <c r="D13" s="18">
        <v>2029</v>
      </c>
      <c r="E13" s="18">
        <v>0.12</v>
      </c>
      <c r="F13" s="18" t="s">
        <v>23</v>
      </c>
    </row>
    <row r="14" spans="1:6" x14ac:dyDescent="0.25">
      <c r="A14" s="18" t="s">
        <v>1</v>
      </c>
      <c r="B14" s="18" t="s">
        <v>19</v>
      </c>
      <c r="C14" s="18" t="s">
        <v>22</v>
      </c>
      <c r="D14" s="18">
        <v>2030</v>
      </c>
      <c r="E14" s="18">
        <v>0.11</v>
      </c>
      <c r="F14" s="18" t="s">
        <v>23</v>
      </c>
    </row>
    <row r="15" spans="1:6" x14ac:dyDescent="0.25">
      <c r="A15" s="18" t="s">
        <v>1</v>
      </c>
      <c r="B15" s="18" t="s">
        <v>19</v>
      </c>
      <c r="C15" s="18" t="s">
        <v>24</v>
      </c>
      <c r="D15" s="18">
        <v>2026</v>
      </c>
      <c r="E15" s="18">
        <v>0.08</v>
      </c>
      <c r="F15" s="18" t="s">
        <v>25</v>
      </c>
    </row>
    <row r="16" spans="1:6" x14ac:dyDescent="0.25">
      <c r="A16" s="18" t="s">
        <v>1</v>
      </c>
      <c r="B16" s="18" t="s">
        <v>19</v>
      </c>
      <c r="C16" s="18" t="s">
        <v>24</v>
      </c>
      <c r="D16" s="18">
        <v>2027</v>
      </c>
      <c r="E16" s="18">
        <v>6.7500000000000004E-2</v>
      </c>
      <c r="F16" s="18" t="s">
        <v>25</v>
      </c>
    </row>
    <row r="17" spans="1:6" x14ac:dyDescent="0.25">
      <c r="A17" s="18" t="s">
        <v>1</v>
      </c>
      <c r="B17" s="18" t="s">
        <v>19</v>
      </c>
      <c r="C17" s="18" t="s">
        <v>24</v>
      </c>
      <c r="D17" s="18">
        <v>2028</v>
      </c>
      <c r="E17" s="18">
        <v>5.5E-2</v>
      </c>
      <c r="F17" s="18" t="s">
        <v>25</v>
      </c>
    </row>
    <row r="18" spans="1:6" x14ac:dyDescent="0.25">
      <c r="A18" s="18" t="s">
        <v>1</v>
      </c>
      <c r="B18" s="18" t="s">
        <v>19</v>
      </c>
      <c r="C18" s="18" t="s">
        <v>24</v>
      </c>
      <c r="D18" s="18">
        <v>2029</v>
      </c>
      <c r="E18" s="18">
        <v>4.2500000000000003E-2</v>
      </c>
      <c r="F18" s="18" t="s">
        <v>25</v>
      </c>
    </row>
    <row r="19" spans="1:6" x14ac:dyDescent="0.25">
      <c r="A19" s="18" t="s">
        <v>1</v>
      </c>
      <c r="B19" s="18" t="s">
        <v>19</v>
      </c>
      <c r="C19" s="18" t="s">
        <v>24</v>
      </c>
      <c r="D19" s="18">
        <v>2030</v>
      </c>
      <c r="E19" s="18">
        <v>0.03</v>
      </c>
      <c r="F19" s="18" t="s">
        <v>25</v>
      </c>
    </row>
    <row r="20" spans="1:6" x14ac:dyDescent="0.25">
      <c r="A20" s="18" t="s">
        <v>2</v>
      </c>
      <c r="B20" s="18" t="s">
        <v>26</v>
      </c>
      <c r="C20" s="18" t="s">
        <v>20</v>
      </c>
      <c r="D20" s="18">
        <v>2026</v>
      </c>
      <c r="E20" s="18">
        <v>0.54500000000000004</v>
      </c>
      <c r="F20" s="18" t="s">
        <v>27</v>
      </c>
    </row>
    <row r="21" spans="1:6" x14ac:dyDescent="0.25">
      <c r="A21" s="18" t="s">
        <v>2</v>
      </c>
      <c r="B21" s="18" t="s">
        <v>26</v>
      </c>
      <c r="C21" s="18" t="s">
        <v>20</v>
      </c>
      <c r="D21" s="18">
        <v>2027</v>
      </c>
      <c r="E21" s="18">
        <v>0.54625000000000001</v>
      </c>
      <c r="F21" s="18" t="s">
        <v>27</v>
      </c>
    </row>
    <row r="22" spans="1:6" x14ac:dyDescent="0.25">
      <c r="A22" s="18" t="s">
        <v>2</v>
      </c>
      <c r="B22" s="18" t="s">
        <v>26</v>
      </c>
      <c r="C22" s="18" t="s">
        <v>20</v>
      </c>
      <c r="D22" s="18">
        <v>2028</v>
      </c>
      <c r="E22" s="18">
        <v>0.54749999999999999</v>
      </c>
      <c r="F22" s="18" t="s">
        <v>27</v>
      </c>
    </row>
    <row r="23" spans="1:6" x14ac:dyDescent="0.25">
      <c r="A23" s="18" t="s">
        <v>2</v>
      </c>
      <c r="B23" s="18" t="s">
        <v>26</v>
      </c>
      <c r="C23" s="18" t="s">
        <v>20</v>
      </c>
      <c r="D23" s="18">
        <v>2029</v>
      </c>
      <c r="E23" s="18">
        <v>0.54874999999999996</v>
      </c>
      <c r="F23" s="18" t="s">
        <v>27</v>
      </c>
    </row>
    <row r="24" spans="1:6" x14ac:dyDescent="0.25">
      <c r="A24" s="18" t="s">
        <v>2</v>
      </c>
      <c r="B24" s="18" t="s">
        <v>26</v>
      </c>
      <c r="C24" s="18" t="s">
        <v>20</v>
      </c>
      <c r="D24" s="18">
        <v>2030</v>
      </c>
      <c r="E24" s="18">
        <v>0.55000000000000004</v>
      </c>
      <c r="F24" s="18" t="s">
        <v>27</v>
      </c>
    </row>
    <row r="25" spans="1:6" x14ac:dyDescent="0.25">
      <c r="A25" s="18" t="s">
        <v>2</v>
      </c>
      <c r="B25" s="18" t="s">
        <v>26</v>
      </c>
      <c r="C25" s="18" t="s">
        <v>22</v>
      </c>
      <c r="D25" s="18">
        <v>2026</v>
      </c>
      <c r="E25" s="18">
        <v>0.55000000000000004</v>
      </c>
      <c r="F25" s="18" t="s">
        <v>28</v>
      </c>
    </row>
    <row r="26" spans="1:6" x14ac:dyDescent="0.25">
      <c r="A26" s="18" t="s">
        <v>2</v>
      </c>
      <c r="B26" s="18" t="s">
        <v>26</v>
      </c>
      <c r="C26" s="18" t="s">
        <v>22</v>
      </c>
      <c r="D26" s="18">
        <v>2027</v>
      </c>
      <c r="E26" s="18">
        <v>0.55500000000000005</v>
      </c>
      <c r="F26" s="18" t="s">
        <v>28</v>
      </c>
    </row>
    <row r="27" spans="1:6" x14ac:dyDescent="0.25">
      <c r="A27" s="18" t="s">
        <v>2</v>
      </c>
      <c r="B27" s="18" t="s">
        <v>26</v>
      </c>
      <c r="C27" s="18" t="s">
        <v>22</v>
      </c>
      <c r="D27" s="18">
        <v>2028</v>
      </c>
      <c r="E27" s="18">
        <v>0.56000000000000005</v>
      </c>
      <c r="F27" s="18" t="s">
        <v>28</v>
      </c>
    </row>
    <row r="28" spans="1:6" x14ac:dyDescent="0.25">
      <c r="A28" s="18" t="s">
        <v>2</v>
      </c>
      <c r="B28" s="18" t="s">
        <v>26</v>
      </c>
      <c r="C28" s="18" t="s">
        <v>22</v>
      </c>
      <c r="D28" s="18">
        <v>2029</v>
      </c>
      <c r="E28" s="18">
        <v>0.56499999999999995</v>
      </c>
      <c r="F28" s="18" t="s">
        <v>28</v>
      </c>
    </row>
    <row r="29" spans="1:6" x14ac:dyDescent="0.25">
      <c r="A29" s="18" t="s">
        <v>2</v>
      </c>
      <c r="B29" s="18" t="s">
        <v>26</v>
      </c>
      <c r="C29" s="18" t="s">
        <v>22</v>
      </c>
      <c r="D29" s="18">
        <v>2030</v>
      </c>
      <c r="E29" s="18">
        <v>0.56999999999999995</v>
      </c>
      <c r="F29" s="18" t="s">
        <v>28</v>
      </c>
    </row>
    <row r="30" spans="1:6" x14ac:dyDescent="0.25">
      <c r="A30" s="18" t="s">
        <v>2</v>
      </c>
      <c r="B30" s="18" t="s">
        <v>26</v>
      </c>
      <c r="C30" s="18" t="s">
        <v>24</v>
      </c>
      <c r="D30" s="18">
        <v>2026</v>
      </c>
      <c r="E30" s="18">
        <v>0.53500000000000003</v>
      </c>
      <c r="F30" s="18" t="s">
        <v>29</v>
      </c>
    </row>
    <row r="31" spans="1:6" x14ac:dyDescent="0.25">
      <c r="A31" s="18" t="s">
        <v>2</v>
      </c>
      <c r="B31" s="18" t="s">
        <v>26</v>
      </c>
      <c r="C31" s="18" t="s">
        <v>24</v>
      </c>
      <c r="D31" s="18">
        <v>2027</v>
      </c>
      <c r="E31" s="18">
        <v>0.52875000000000005</v>
      </c>
      <c r="F31" s="18" t="s">
        <v>29</v>
      </c>
    </row>
    <row r="32" spans="1:6" x14ac:dyDescent="0.25">
      <c r="A32" s="18" t="s">
        <v>2</v>
      </c>
      <c r="B32" s="18" t="s">
        <v>26</v>
      </c>
      <c r="C32" s="18" t="s">
        <v>24</v>
      </c>
      <c r="D32" s="18">
        <v>2028</v>
      </c>
      <c r="E32" s="18">
        <v>0.52249999999999996</v>
      </c>
      <c r="F32" s="18" t="s">
        <v>29</v>
      </c>
    </row>
    <row r="33" spans="1:6" x14ac:dyDescent="0.25">
      <c r="A33" s="18" t="s">
        <v>2</v>
      </c>
      <c r="B33" s="18" t="s">
        <v>26</v>
      </c>
      <c r="C33" s="18" t="s">
        <v>24</v>
      </c>
      <c r="D33" s="18">
        <v>2029</v>
      </c>
      <c r="E33" s="18">
        <v>0.51624999999999999</v>
      </c>
      <c r="F33" s="18" t="s">
        <v>29</v>
      </c>
    </row>
    <row r="34" spans="1:6" x14ac:dyDescent="0.25">
      <c r="A34" s="18" t="s">
        <v>2</v>
      </c>
      <c r="B34" s="18" t="s">
        <v>26</v>
      </c>
      <c r="C34" s="18" t="s">
        <v>24</v>
      </c>
      <c r="D34" s="18">
        <v>2030</v>
      </c>
      <c r="E34" s="18">
        <v>0.51</v>
      </c>
      <c r="F34" s="18" t="s">
        <v>29</v>
      </c>
    </row>
    <row r="35" spans="1:6" x14ac:dyDescent="0.25">
      <c r="A35" s="18" t="s">
        <v>4</v>
      </c>
      <c r="B35" s="18" t="s">
        <v>30</v>
      </c>
      <c r="C35" s="18" t="s">
        <v>20</v>
      </c>
      <c r="D35" s="18">
        <v>2026</v>
      </c>
      <c r="E35" s="18">
        <v>0.53500000000000003</v>
      </c>
      <c r="F35" s="18" t="s">
        <v>31</v>
      </c>
    </row>
    <row r="36" spans="1:6" x14ac:dyDescent="0.25">
      <c r="A36" s="18" t="s">
        <v>4</v>
      </c>
      <c r="B36" s="18" t="s">
        <v>30</v>
      </c>
      <c r="C36" s="18" t="s">
        <v>20</v>
      </c>
      <c r="D36" s="18">
        <v>2027</v>
      </c>
      <c r="E36" s="18">
        <v>0.52124999999999999</v>
      </c>
      <c r="F36" s="18" t="s">
        <v>31</v>
      </c>
    </row>
    <row r="37" spans="1:6" x14ac:dyDescent="0.25">
      <c r="A37" s="18" t="s">
        <v>4</v>
      </c>
      <c r="B37" s="18" t="s">
        <v>30</v>
      </c>
      <c r="C37" s="18" t="s">
        <v>20</v>
      </c>
      <c r="D37" s="18">
        <v>2028</v>
      </c>
      <c r="E37" s="18">
        <v>0.50749999999999995</v>
      </c>
      <c r="F37" s="18" t="s">
        <v>31</v>
      </c>
    </row>
    <row r="38" spans="1:6" x14ac:dyDescent="0.25">
      <c r="A38" s="18" t="s">
        <v>4</v>
      </c>
      <c r="B38" s="18" t="s">
        <v>30</v>
      </c>
      <c r="C38" s="18" t="s">
        <v>20</v>
      </c>
      <c r="D38" s="18">
        <v>2029</v>
      </c>
      <c r="E38" s="18">
        <v>0.49375000000000002</v>
      </c>
      <c r="F38" s="18" t="s">
        <v>31</v>
      </c>
    </row>
    <row r="39" spans="1:6" x14ac:dyDescent="0.25">
      <c r="A39" s="18" t="s">
        <v>4</v>
      </c>
      <c r="B39" s="18" t="s">
        <v>30</v>
      </c>
      <c r="C39" s="18" t="s">
        <v>20</v>
      </c>
      <c r="D39" s="18">
        <v>2030</v>
      </c>
      <c r="E39" s="18">
        <v>0.48</v>
      </c>
      <c r="F39" s="18" t="s">
        <v>31</v>
      </c>
    </row>
    <row r="40" spans="1:6" x14ac:dyDescent="0.25">
      <c r="A40" s="18" t="s">
        <v>4</v>
      </c>
      <c r="B40" s="18" t="s">
        <v>30</v>
      </c>
      <c r="C40" s="18" t="s">
        <v>22</v>
      </c>
      <c r="D40" s="18">
        <v>2026</v>
      </c>
      <c r="E40" s="18">
        <v>0.53</v>
      </c>
      <c r="F40" s="18" t="s">
        <v>32</v>
      </c>
    </row>
    <row r="41" spans="1:6" x14ac:dyDescent="0.25">
      <c r="A41" s="18" t="s">
        <v>4</v>
      </c>
      <c r="B41" s="18" t="s">
        <v>30</v>
      </c>
      <c r="C41" s="18" t="s">
        <v>22</v>
      </c>
      <c r="D41" s="18">
        <v>2027</v>
      </c>
      <c r="E41" s="18">
        <v>0.50749999999999995</v>
      </c>
      <c r="F41" s="18" t="s">
        <v>32</v>
      </c>
    </row>
    <row r="42" spans="1:6" x14ac:dyDescent="0.25">
      <c r="A42" s="18" t="s">
        <v>4</v>
      </c>
      <c r="B42" s="18" t="s">
        <v>30</v>
      </c>
      <c r="C42" s="18" t="s">
        <v>22</v>
      </c>
      <c r="D42" s="18">
        <v>2028</v>
      </c>
      <c r="E42" s="18">
        <v>0.48499999999999999</v>
      </c>
      <c r="F42" s="18" t="s">
        <v>32</v>
      </c>
    </row>
    <row r="43" spans="1:6" x14ac:dyDescent="0.25">
      <c r="A43" s="18" t="s">
        <v>4</v>
      </c>
      <c r="B43" s="18" t="s">
        <v>30</v>
      </c>
      <c r="C43" s="18" t="s">
        <v>22</v>
      </c>
      <c r="D43" s="18">
        <v>2029</v>
      </c>
      <c r="E43" s="18">
        <v>0.46250000000000002</v>
      </c>
      <c r="F43" s="18" t="s">
        <v>32</v>
      </c>
    </row>
    <row r="44" spans="1:6" x14ac:dyDescent="0.25">
      <c r="A44" s="18" t="s">
        <v>4</v>
      </c>
      <c r="B44" s="18" t="s">
        <v>30</v>
      </c>
      <c r="C44" s="18" t="s">
        <v>22</v>
      </c>
      <c r="D44" s="18">
        <v>2030</v>
      </c>
      <c r="E44" s="18">
        <v>0.44</v>
      </c>
      <c r="F44" s="18" t="s">
        <v>32</v>
      </c>
    </row>
    <row r="45" spans="1:6" x14ac:dyDescent="0.25">
      <c r="A45" s="18" t="s">
        <v>4</v>
      </c>
      <c r="B45" s="18" t="s">
        <v>30</v>
      </c>
      <c r="C45" s="18" t="s">
        <v>24</v>
      </c>
      <c r="D45" s="18">
        <v>2026</v>
      </c>
      <c r="E45" s="18">
        <v>0.54500000000000004</v>
      </c>
      <c r="F45" s="18" t="s">
        <v>33</v>
      </c>
    </row>
    <row r="46" spans="1:6" x14ac:dyDescent="0.25">
      <c r="A46" s="18" t="s">
        <v>4</v>
      </c>
      <c r="B46" s="18" t="s">
        <v>30</v>
      </c>
      <c r="C46" s="18" t="s">
        <v>24</v>
      </c>
      <c r="D46" s="18">
        <v>2027</v>
      </c>
      <c r="E46" s="18">
        <v>0.54500000000000004</v>
      </c>
      <c r="F46" s="18" t="s">
        <v>33</v>
      </c>
    </row>
    <row r="47" spans="1:6" x14ac:dyDescent="0.25">
      <c r="A47" s="18" t="s">
        <v>4</v>
      </c>
      <c r="B47" s="18" t="s">
        <v>30</v>
      </c>
      <c r="C47" s="18" t="s">
        <v>24</v>
      </c>
      <c r="D47" s="18">
        <v>2028</v>
      </c>
      <c r="E47" s="18">
        <v>0.54500000000000004</v>
      </c>
      <c r="F47" s="18" t="s">
        <v>33</v>
      </c>
    </row>
    <row r="48" spans="1:6" x14ac:dyDescent="0.25">
      <c r="A48" s="18" t="s">
        <v>4</v>
      </c>
      <c r="B48" s="18" t="s">
        <v>30</v>
      </c>
      <c r="C48" s="18" t="s">
        <v>24</v>
      </c>
      <c r="D48" s="18">
        <v>2029</v>
      </c>
      <c r="E48" s="18">
        <v>0.54500000000000004</v>
      </c>
      <c r="F48" s="18" t="s">
        <v>33</v>
      </c>
    </row>
    <row r="49" spans="1:6" x14ac:dyDescent="0.25">
      <c r="A49" s="18" t="s">
        <v>4</v>
      </c>
      <c r="B49" s="18" t="s">
        <v>30</v>
      </c>
      <c r="C49" s="18" t="s">
        <v>24</v>
      </c>
      <c r="D49" s="18">
        <v>2030</v>
      </c>
      <c r="E49" s="18">
        <v>0.54500000000000004</v>
      </c>
      <c r="F49" s="18" t="s">
        <v>33</v>
      </c>
    </row>
    <row r="50" spans="1:6" x14ac:dyDescent="0.25">
      <c r="A50" s="18" t="s">
        <v>7</v>
      </c>
      <c r="B50" s="18" t="s">
        <v>34</v>
      </c>
      <c r="C50" s="18" t="s">
        <v>20</v>
      </c>
      <c r="D50" s="18">
        <v>2026</v>
      </c>
      <c r="E50" s="18">
        <v>0.08</v>
      </c>
      <c r="F50" s="18" t="s">
        <v>35</v>
      </c>
    </row>
    <row r="51" spans="1:6" x14ac:dyDescent="0.25">
      <c r="A51" s="18" t="s">
        <v>7</v>
      </c>
      <c r="B51" s="18" t="s">
        <v>34</v>
      </c>
      <c r="C51" s="18" t="s">
        <v>20</v>
      </c>
      <c r="D51" s="18">
        <v>2027</v>
      </c>
      <c r="E51" s="18">
        <v>0.12</v>
      </c>
      <c r="F51" s="18" t="s">
        <v>35</v>
      </c>
    </row>
    <row r="52" spans="1:6" x14ac:dyDescent="0.25">
      <c r="A52" s="18" t="s">
        <v>7</v>
      </c>
      <c r="B52" s="18" t="s">
        <v>34</v>
      </c>
      <c r="C52" s="18" t="s">
        <v>20</v>
      </c>
      <c r="D52" s="18">
        <v>2028</v>
      </c>
      <c r="E52" s="18">
        <v>0.16</v>
      </c>
      <c r="F52" s="18" t="s">
        <v>35</v>
      </c>
    </row>
    <row r="53" spans="1:6" x14ac:dyDescent="0.25">
      <c r="A53" s="18" t="s">
        <v>7</v>
      </c>
      <c r="B53" s="18" t="s">
        <v>34</v>
      </c>
      <c r="C53" s="18" t="s">
        <v>20</v>
      </c>
      <c r="D53" s="18">
        <v>2029</v>
      </c>
      <c r="E53" s="18">
        <v>0.2</v>
      </c>
      <c r="F53" s="18" t="s">
        <v>35</v>
      </c>
    </row>
    <row r="54" spans="1:6" x14ac:dyDescent="0.25">
      <c r="A54" s="18" t="s">
        <v>7</v>
      </c>
      <c r="B54" s="18" t="s">
        <v>34</v>
      </c>
      <c r="C54" s="18" t="s">
        <v>20</v>
      </c>
      <c r="D54" s="18">
        <v>2030</v>
      </c>
      <c r="E54" s="18">
        <v>0.24</v>
      </c>
      <c r="F54" s="18" t="s">
        <v>35</v>
      </c>
    </row>
    <row r="55" spans="1:6" x14ac:dyDescent="0.25">
      <c r="A55" s="18" t="s">
        <v>7</v>
      </c>
      <c r="B55" s="18" t="s">
        <v>34</v>
      </c>
      <c r="C55" s="18" t="s">
        <v>22</v>
      </c>
      <c r="D55" s="18">
        <v>2026</v>
      </c>
      <c r="E55" s="18">
        <v>0.05</v>
      </c>
      <c r="F55" s="18" t="s">
        <v>36</v>
      </c>
    </row>
    <row r="56" spans="1:6" x14ac:dyDescent="0.25">
      <c r="A56" s="18" t="s">
        <v>7</v>
      </c>
      <c r="B56" s="18" t="s">
        <v>34</v>
      </c>
      <c r="C56" s="18" t="s">
        <v>22</v>
      </c>
      <c r="D56" s="18">
        <v>2027</v>
      </c>
      <c r="E56" s="18">
        <v>8.7499999999999994E-2</v>
      </c>
      <c r="F56" s="18" t="s">
        <v>36</v>
      </c>
    </row>
    <row r="57" spans="1:6" x14ac:dyDescent="0.25">
      <c r="A57" s="18" t="s">
        <v>7</v>
      </c>
      <c r="B57" s="18" t="s">
        <v>34</v>
      </c>
      <c r="C57" s="18" t="s">
        <v>22</v>
      </c>
      <c r="D57" s="18">
        <v>2028</v>
      </c>
      <c r="E57" s="18">
        <v>0.125</v>
      </c>
      <c r="F57" s="18" t="s">
        <v>36</v>
      </c>
    </row>
    <row r="58" spans="1:6" x14ac:dyDescent="0.25">
      <c r="A58" s="18" t="s">
        <v>7</v>
      </c>
      <c r="B58" s="18" t="s">
        <v>34</v>
      </c>
      <c r="C58" s="18" t="s">
        <v>22</v>
      </c>
      <c r="D58" s="18">
        <v>2029</v>
      </c>
      <c r="E58" s="18">
        <v>0.16250000000000001</v>
      </c>
      <c r="F58" s="18" t="s">
        <v>36</v>
      </c>
    </row>
    <row r="59" spans="1:6" x14ac:dyDescent="0.25">
      <c r="A59" s="18" t="s">
        <v>7</v>
      </c>
      <c r="B59" s="18" t="s">
        <v>34</v>
      </c>
      <c r="C59" s="18" t="s">
        <v>22</v>
      </c>
      <c r="D59" s="18">
        <v>2030</v>
      </c>
      <c r="E59" s="18">
        <v>0.2</v>
      </c>
      <c r="F59" s="18" t="s">
        <v>36</v>
      </c>
    </row>
    <row r="60" spans="1:6" x14ac:dyDescent="0.25">
      <c r="A60" s="18" t="s">
        <v>7</v>
      </c>
      <c r="B60" s="18" t="s">
        <v>34</v>
      </c>
      <c r="C60" s="18" t="s">
        <v>24</v>
      </c>
      <c r="D60" s="18">
        <v>2026</v>
      </c>
      <c r="E60" s="18">
        <v>0.12</v>
      </c>
      <c r="F60" s="18" t="s">
        <v>37</v>
      </c>
    </row>
    <row r="61" spans="1:6" x14ac:dyDescent="0.25">
      <c r="A61" s="18" t="s">
        <v>7</v>
      </c>
      <c r="B61" s="18" t="s">
        <v>34</v>
      </c>
      <c r="C61" s="18" t="s">
        <v>24</v>
      </c>
      <c r="D61" s="18">
        <v>2027</v>
      </c>
      <c r="E61" s="18">
        <v>0.1575</v>
      </c>
      <c r="F61" s="18" t="s">
        <v>37</v>
      </c>
    </row>
    <row r="62" spans="1:6" x14ac:dyDescent="0.25">
      <c r="A62" s="18" t="s">
        <v>7</v>
      </c>
      <c r="B62" s="18" t="s">
        <v>34</v>
      </c>
      <c r="C62" s="18" t="s">
        <v>24</v>
      </c>
      <c r="D62" s="18">
        <v>2028</v>
      </c>
      <c r="E62" s="18">
        <v>0.19500000000000001</v>
      </c>
      <c r="F62" s="18" t="s">
        <v>37</v>
      </c>
    </row>
    <row r="63" spans="1:6" x14ac:dyDescent="0.25">
      <c r="A63" s="18" t="s">
        <v>7</v>
      </c>
      <c r="B63" s="18" t="s">
        <v>34</v>
      </c>
      <c r="C63" s="18" t="s">
        <v>24</v>
      </c>
      <c r="D63" s="18">
        <v>2029</v>
      </c>
      <c r="E63" s="18">
        <v>0.23250000000000001</v>
      </c>
      <c r="F63" s="18" t="s">
        <v>37</v>
      </c>
    </row>
    <row r="64" spans="1:6" x14ac:dyDescent="0.25">
      <c r="A64" s="18" t="s">
        <v>7</v>
      </c>
      <c r="B64" s="18" t="s">
        <v>34</v>
      </c>
      <c r="C64" s="18" t="s">
        <v>24</v>
      </c>
      <c r="D64" s="18">
        <v>2030</v>
      </c>
      <c r="E64" s="18">
        <v>0.27</v>
      </c>
      <c r="F64" s="18" t="s">
        <v>37</v>
      </c>
    </row>
    <row r="65" spans="1:6" x14ac:dyDescent="0.25">
      <c r="A65" s="18" t="s">
        <v>8</v>
      </c>
      <c r="B65" s="18" t="s">
        <v>38</v>
      </c>
      <c r="C65" s="18" t="s">
        <v>20</v>
      </c>
      <c r="D65" s="18">
        <v>2026</v>
      </c>
      <c r="E65" s="18">
        <v>1.5</v>
      </c>
      <c r="F65" s="18" t="s">
        <v>39</v>
      </c>
    </row>
    <row r="66" spans="1:6" x14ac:dyDescent="0.25">
      <c r="A66" s="18" t="s">
        <v>8</v>
      </c>
      <c r="B66" s="18" t="s">
        <v>38</v>
      </c>
      <c r="C66" s="18" t="s">
        <v>20</v>
      </c>
      <c r="D66" s="18">
        <v>2027</v>
      </c>
      <c r="E66" s="18">
        <v>1.5</v>
      </c>
      <c r="F66" s="18" t="s">
        <v>39</v>
      </c>
    </row>
    <row r="67" spans="1:6" x14ac:dyDescent="0.25">
      <c r="A67" s="18" t="s">
        <v>8</v>
      </c>
      <c r="B67" s="18" t="s">
        <v>38</v>
      </c>
      <c r="C67" s="18" t="s">
        <v>20</v>
      </c>
      <c r="D67" s="18">
        <v>2028</v>
      </c>
      <c r="E67" s="18">
        <v>1.5</v>
      </c>
      <c r="F67" s="18" t="s">
        <v>39</v>
      </c>
    </row>
    <row r="68" spans="1:6" x14ac:dyDescent="0.25">
      <c r="A68" s="18" t="s">
        <v>8</v>
      </c>
      <c r="B68" s="18" t="s">
        <v>38</v>
      </c>
      <c r="C68" s="18" t="s">
        <v>20</v>
      </c>
      <c r="D68" s="18">
        <v>2029</v>
      </c>
      <c r="E68" s="18">
        <v>1.5</v>
      </c>
      <c r="F68" s="18" t="s">
        <v>39</v>
      </c>
    </row>
    <row r="69" spans="1:6" x14ac:dyDescent="0.25">
      <c r="A69" s="18" t="s">
        <v>8</v>
      </c>
      <c r="B69" s="18" t="s">
        <v>38</v>
      </c>
      <c r="C69" s="18" t="s">
        <v>20</v>
      </c>
      <c r="D69" s="18">
        <v>2030</v>
      </c>
      <c r="E69" s="18">
        <v>1.5</v>
      </c>
      <c r="F69" s="18" t="s">
        <v>39</v>
      </c>
    </row>
    <row r="70" spans="1:6" x14ac:dyDescent="0.25">
      <c r="A70" s="18" t="s">
        <v>8</v>
      </c>
      <c r="B70" s="18" t="s">
        <v>38</v>
      </c>
      <c r="C70" s="18" t="s">
        <v>22</v>
      </c>
      <c r="D70" s="18">
        <v>2026</v>
      </c>
      <c r="E70" s="18">
        <v>1.2</v>
      </c>
      <c r="F70" s="18" t="s">
        <v>40</v>
      </c>
    </row>
    <row r="71" spans="1:6" x14ac:dyDescent="0.25">
      <c r="A71" s="18" t="s">
        <v>8</v>
      </c>
      <c r="B71" s="18" t="s">
        <v>38</v>
      </c>
      <c r="C71" s="18" t="s">
        <v>22</v>
      </c>
      <c r="D71" s="18">
        <v>2027</v>
      </c>
      <c r="E71" s="18">
        <v>1.2</v>
      </c>
      <c r="F71" s="18" t="s">
        <v>40</v>
      </c>
    </row>
    <row r="72" spans="1:6" x14ac:dyDescent="0.25">
      <c r="A72" s="18" t="s">
        <v>8</v>
      </c>
      <c r="B72" s="18" t="s">
        <v>38</v>
      </c>
      <c r="C72" s="18" t="s">
        <v>22</v>
      </c>
      <c r="D72" s="18">
        <v>2028</v>
      </c>
      <c r="E72" s="18">
        <v>1.2</v>
      </c>
      <c r="F72" s="18" t="s">
        <v>40</v>
      </c>
    </row>
    <row r="73" spans="1:6" x14ac:dyDescent="0.25">
      <c r="A73" s="18" t="s">
        <v>8</v>
      </c>
      <c r="B73" s="18" t="s">
        <v>38</v>
      </c>
      <c r="C73" s="18" t="s">
        <v>22</v>
      </c>
      <c r="D73" s="18">
        <v>2029</v>
      </c>
      <c r="E73" s="18">
        <v>1.2</v>
      </c>
      <c r="F73" s="18" t="s">
        <v>40</v>
      </c>
    </row>
    <row r="74" spans="1:6" x14ac:dyDescent="0.25">
      <c r="A74" s="18" t="s">
        <v>8</v>
      </c>
      <c r="B74" s="18" t="s">
        <v>38</v>
      </c>
      <c r="C74" s="18" t="s">
        <v>22</v>
      </c>
      <c r="D74" s="18">
        <v>2030</v>
      </c>
      <c r="E74" s="18">
        <v>1.2</v>
      </c>
      <c r="F74" s="18" t="s">
        <v>40</v>
      </c>
    </row>
    <row r="75" spans="1:6" x14ac:dyDescent="0.25">
      <c r="A75" s="18" t="s">
        <v>8</v>
      </c>
      <c r="B75" s="18" t="s">
        <v>38</v>
      </c>
      <c r="C75" s="18" t="s">
        <v>24</v>
      </c>
      <c r="D75" s="18">
        <v>2026</v>
      </c>
      <c r="E75" s="18">
        <v>2</v>
      </c>
      <c r="F75" s="18" t="s">
        <v>41</v>
      </c>
    </row>
    <row r="76" spans="1:6" x14ac:dyDescent="0.25">
      <c r="A76" s="18" t="s">
        <v>8</v>
      </c>
      <c r="B76" s="18" t="s">
        <v>38</v>
      </c>
      <c r="C76" s="18" t="s">
        <v>24</v>
      </c>
      <c r="D76" s="18">
        <v>2027</v>
      </c>
      <c r="E76" s="18">
        <v>2</v>
      </c>
      <c r="F76" s="18" t="s">
        <v>41</v>
      </c>
    </row>
    <row r="77" spans="1:6" x14ac:dyDescent="0.25">
      <c r="A77" s="18" t="s">
        <v>8</v>
      </c>
      <c r="B77" s="18" t="s">
        <v>38</v>
      </c>
      <c r="C77" s="18" t="s">
        <v>24</v>
      </c>
      <c r="D77" s="18">
        <v>2028</v>
      </c>
      <c r="E77" s="18">
        <v>2</v>
      </c>
      <c r="F77" s="18" t="s">
        <v>41</v>
      </c>
    </row>
    <row r="78" spans="1:6" x14ac:dyDescent="0.25">
      <c r="A78" s="18" t="s">
        <v>8</v>
      </c>
      <c r="B78" s="18" t="s">
        <v>38</v>
      </c>
      <c r="C78" s="18" t="s">
        <v>24</v>
      </c>
      <c r="D78" s="18">
        <v>2029</v>
      </c>
      <c r="E78" s="18">
        <v>2</v>
      </c>
      <c r="F78" s="18" t="s">
        <v>41</v>
      </c>
    </row>
    <row r="79" spans="1:6" x14ac:dyDescent="0.25">
      <c r="A79" s="18" t="s">
        <v>8</v>
      </c>
      <c r="B79" s="18" t="s">
        <v>38</v>
      </c>
      <c r="C79" s="18" t="s">
        <v>24</v>
      </c>
      <c r="D79" s="18">
        <v>2030</v>
      </c>
      <c r="E79" s="18">
        <v>2</v>
      </c>
      <c r="F79" s="18" t="s">
        <v>41</v>
      </c>
    </row>
    <row r="80" spans="1:6" x14ac:dyDescent="0.25">
      <c r="A80" s="18" t="s">
        <v>9</v>
      </c>
      <c r="B80" s="18" t="s">
        <v>42</v>
      </c>
      <c r="C80" s="18" t="s">
        <v>20</v>
      </c>
      <c r="D80" s="18">
        <v>2026</v>
      </c>
      <c r="E80" s="18">
        <v>38</v>
      </c>
      <c r="F80" s="18" t="s">
        <v>43</v>
      </c>
    </row>
    <row r="81" spans="1:6" x14ac:dyDescent="0.25">
      <c r="A81" s="18" t="s">
        <v>9</v>
      </c>
      <c r="B81" s="18" t="s">
        <v>42</v>
      </c>
      <c r="C81" s="18" t="s">
        <v>20</v>
      </c>
      <c r="D81" s="18">
        <v>2027</v>
      </c>
      <c r="E81" s="18">
        <v>36.75</v>
      </c>
      <c r="F81" s="18" t="s">
        <v>43</v>
      </c>
    </row>
    <row r="82" spans="1:6" x14ac:dyDescent="0.25">
      <c r="A82" s="18" t="s">
        <v>9</v>
      </c>
      <c r="B82" s="18" t="s">
        <v>42</v>
      </c>
      <c r="C82" s="18" t="s">
        <v>20</v>
      </c>
      <c r="D82" s="18">
        <v>2028</v>
      </c>
      <c r="E82" s="18">
        <v>35.5</v>
      </c>
      <c r="F82" s="18" t="s">
        <v>43</v>
      </c>
    </row>
    <row r="83" spans="1:6" x14ac:dyDescent="0.25">
      <c r="A83" s="18" t="s">
        <v>9</v>
      </c>
      <c r="B83" s="18" t="s">
        <v>42</v>
      </c>
      <c r="C83" s="18" t="s">
        <v>20</v>
      </c>
      <c r="D83" s="18">
        <v>2029</v>
      </c>
      <c r="E83" s="18">
        <v>34.25</v>
      </c>
      <c r="F83" s="18" t="s">
        <v>43</v>
      </c>
    </row>
    <row r="84" spans="1:6" x14ac:dyDescent="0.25">
      <c r="A84" s="18" t="s">
        <v>9</v>
      </c>
      <c r="B84" s="18" t="s">
        <v>42</v>
      </c>
      <c r="C84" s="18" t="s">
        <v>20</v>
      </c>
      <c r="D84" s="18">
        <v>2030</v>
      </c>
      <c r="E84" s="18">
        <v>33</v>
      </c>
      <c r="F84" s="18" t="s">
        <v>43</v>
      </c>
    </row>
    <row r="85" spans="1:6" x14ac:dyDescent="0.25">
      <c r="A85" s="18" t="s">
        <v>9</v>
      </c>
      <c r="B85" s="18" t="s">
        <v>42</v>
      </c>
      <c r="C85" s="18" t="s">
        <v>22</v>
      </c>
      <c r="D85" s="18">
        <v>2026</v>
      </c>
      <c r="E85" s="18">
        <v>38</v>
      </c>
      <c r="F85" s="18" t="s">
        <v>44</v>
      </c>
    </row>
    <row r="86" spans="1:6" x14ac:dyDescent="0.25">
      <c r="A86" s="18" t="s">
        <v>9</v>
      </c>
      <c r="B86" s="18" t="s">
        <v>42</v>
      </c>
      <c r="C86" s="18" t="s">
        <v>22</v>
      </c>
      <c r="D86" s="18">
        <v>2027</v>
      </c>
      <c r="E86" s="18">
        <v>35</v>
      </c>
      <c r="F86" s="18" t="s">
        <v>44</v>
      </c>
    </row>
    <row r="87" spans="1:6" x14ac:dyDescent="0.25">
      <c r="A87" s="18" t="s">
        <v>9</v>
      </c>
      <c r="B87" s="18" t="s">
        <v>42</v>
      </c>
      <c r="C87" s="18" t="s">
        <v>22</v>
      </c>
      <c r="D87" s="18">
        <v>2028</v>
      </c>
      <c r="E87" s="18">
        <v>32</v>
      </c>
      <c r="F87" s="18" t="s">
        <v>44</v>
      </c>
    </row>
    <row r="88" spans="1:6" x14ac:dyDescent="0.25">
      <c r="A88" s="18" t="s">
        <v>9</v>
      </c>
      <c r="B88" s="18" t="s">
        <v>42</v>
      </c>
      <c r="C88" s="18" t="s">
        <v>22</v>
      </c>
      <c r="D88" s="18">
        <v>2029</v>
      </c>
      <c r="E88" s="18">
        <v>29</v>
      </c>
      <c r="F88" s="18" t="s">
        <v>44</v>
      </c>
    </row>
    <row r="89" spans="1:6" x14ac:dyDescent="0.25">
      <c r="A89" s="18" t="s">
        <v>9</v>
      </c>
      <c r="B89" s="18" t="s">
        <v>42</v>
      </c>
      <c r="C89" s="18" t="s">
        <v>22</v>
      </c>
      <c r="D89" s="18">
        <v>2030</v>
      </c>
      <c r="E89" s="18">
        <v>26</v>
      </c>
      <c r="F89" s="18" t="s">
        <v>44</v>
      </c>
    </row>
    <row r="90" spans="1:6" x14ac:dyDescent="0.25">
      <c r="A90" s="18" t="s">
        <v>9</v>
      </c>
      <c r="B90" s="18" t="s">
        <v>42</v>
      </c>
      <c r="C90" s="18" t="s">
        <v>24</v>
      </c>
      <c r="D90" s="18">
        <v>2026</v>
      </c>
      <c r="E90" s="18">
        <v>45</v>
      </c>
      <c r="F90" s="18" t="s">
        <v>45</v>
      </c>
    </row>
    <row r="91" spans="1:6" x14ac:dyDescent="0.25">
      <c r="A91" s="18" t="s">
        <v>9</v>
      </c>
      <c r="B91" s="18" t="s">
        <v>42</v>
      </c>
      <c r="C91" s="18" t="s">
        <v>24</v>
      </c>
      <c r="D91" s="18">
        <v>2027</v>
      </c>
      <c r="E91" s="18">
        <v>46.25</v>
      </c>
      <c r="F91" s="18" t="s">
        <v>45</v>
      </c>
    </row>
    <row r="92" spans="1:6" x14ac:dyDescent="0.25">
      <c r="A92" s="18" t="s">
        <v>9</v>
      </c>
      <c r="B92" s="18" t="s">
        <v>42</v>
      </c>
      <c r="C92" s="18" t="s">
        <v>24</v>
      </c>
      <c r="D92" s="18">
        <v>2028</v>
      </c>
      <c r="E92" s="18">
        <v>47.5</v>
      </c>
      <c r="F92" s="18" t="s">
        <v>45</v>
      </c>
    </row>
    <row r="93" spans="1:6" x14ac:dyDescent="0.25">
      <c r="A93" s="18" t="s">
        <v>9</v>
      </c>
      <c r="B93" s="18" t="s">
        <v>42</v>
      </c>
      <c r="C93" s="18" t="s">
        <v>24</v>
      </c>
      <c r="D93" s="18">
        <v>2029</v>
      </c>
      <c r="E93" s="18">
        <v>48.75</v>
      </c>
      <c r="F93" s="18" t="s">
        <v>45</v>
      </c>
    </row>
    <row r="94" spans="1:6" x14ac:dyDescent="0.25">
      <c r="A94" s="18" t="s">
        <v>9</v>
      </c>
      <c r="B94" s="18" t="s">
        <v>42</v>
      </c>
      <c r="C94" s="18" t="s">
        <v>24</v>
      </c>
      <c r="D94" s="18">
        <v>2030</v>
      </c>
      <c r="E94" s="18">
        <v>50</v>
      </c>
      <c r="F94" s="18" t="s">
        <v>45</v>
      </c>
    </row>
    <row r="95" spans="1:6" x14ac:dyDescent="0.25">
      <c r="A95" s="18" t="s">
        <v>10</v>
      </c>
      <c r="B95" s="18" t="s">
        <v>46</v>
      </c>
      <c r="C95" s="18" t="s">
        <v>20</v>
      </c>
      <c r="D95" s="18">
        <v>2026</v>
      </c>
      <c r="E95" s="18">
        <v>28</v>
      </c>
      <c r="F95" s="18" t="s">
        <v>47</v>
      </c>
    </row>
    <row r="96" spans="1:6" x14ac:dyDescent="0.25">
      <c r="A96" s="18" t="s">
        <v>10</v>
      </c>
      <c r="B96" s="18" t="s">
        <v>46</v>
      </c>
      <c r="C96" s="18" t="s">
        <v>20</v>
      </c>
      <c r="D96" s="18">
        <v>2027</v>
      </c>
      <c r="E96" s="18">
        <v>28</v>
      </c>
      <c r="F96" s="18" t="s">
        <v>47</v>
      </c>
    </row>
    <row r="97" spans="1:6" x14ac:dyDescent="0.25">
      <c r="A97" s="18" t="s">
        <v>10</v>
      </c>
      <c r="B97" s="18" t="s">
        <v>46</v>
      </c>
      <c r="C97" s="18" t="s">
        <v>20</v>
      </c>
      <c r="D97" s="18">
        <v>2028</v>
      </c>
      <c r="E97" s="18">
        <v>28</v>
      </c>
      <c r="F97" s="18" t="s">
        <v>47</v>
      </c>
    </row>
    <row r="98" spans="1:6" x14ac:dyDescent="0.25">
      <c r="A98" s="18" t="s">
        <v>10</v>
      </c>
      <c r="B98" s="18" t="s">
        <v>46</v>
      </c>
      <c r="C98" s="18" t="s">
        <v>20</v>
      </c>
      <c r="D98" s="18">
        <v>2029</v>
      </c>
      <c r="E98" s="18">
        <v>28</v>
      </c>
      <c r="F98" s="18" t="s">
        <v>47</v>
      </c>
    </row>
    <row r="99" spans="1:6" x14ac:dyDescent="0.25">
      <c r="A99" s="18" t="s">
        <v>10</v>
      </c>
      <c r="B99" s="18" t="s">
        <v>46</v>
      </c>
      <c r="C99" s="18" t="s">
        <v>20</v>
      </c>
      <c r="D99" s="18">
        <v>2030</v>
      </c>
      <c r="E99" s="18">
        <v>28</v>
      </c>
      <c r="F99" s="18" t="s">
        <v>47</v>
      </c>
    </row>
    <row r="100" spans="1:6" x14ac:dyDescent="0.25">
      <c r="A100" s="18" t="s">
        <v>10</v>
      </c>
      <c r="B100" s="18" t="s">
        <v>46</v>
      </c>
      <c r="C100" s="18" t="s">
        <v>22</v>
      </c>
      <c r="D100" s="18">
        <v>2026</v>
      </c>
      <c r="E100" s="18">
        <v>30</v>
      </c>
      <c r="F100" s="18" t="s">
        <v>48</v>
      </c>
    </row>
    <row r="101" spans="1:6" x14ac:dyDescent="0.25">
      <c r="A101" s="18" t="s">
        <v>10</v>
      </c>
      <c r="B101" s="18" t="s">
        <v>46</v>
      </c>
      <c r="C101" s="18" t="s">
        <v>22</v>
      </c>
      <c r="D101" s="18">
        <v>2027</v>
      </c>
      <c r="E101" s="18">
        <v>31</v>
      </c>
      <c r="F101" s="18" t="s">
        <v>48</v>
      </c>
    </row>
    <row r="102" spans="1:6" x14ac:dyDescent="0.25">
      <c r="A102" s="18" t="s">
        <v>10</v>
      </c>
      <c r="B102" s="18" t="s">
        <v>46</v>
      </c>
      <c r="C102" s="18" t="s">
        <v>22</v>
      </c>
      <c r="D102" s="18">
        <v>2028</v>
      </c>
      <c r="E102" s="18">
        <v>32</v>
      </c>
      <c r="F102" s="18" t="s">
        <v>48</v>
      </c>
    </row>
    <row r="103" spans="1:6" x14ac:dyDescent="0.25">
      <c r="A103" s="18" t="s">
        <v>10</v>
      </c>
      <c r="B103" s="18" t="s">
        <v>46</v>
      </c>
      <c r="C103" s="18" t="s">
        <v>22</v>
      </c>
      <c r="D103" s="18">
        <v>2029</v>
      </c>
      <c r="E103" s="18">
        <v>33</v>
      </c>
      <c r="F103" s="18" t="s">
        <v>48</v>
      </c>
    </row>
    <row r="104" spans="1:6" x14ac:dyDescent="0.25">
      <c r="A104" s="18" t="s">
        <v>10</v>
      </c>
      <c r="B104" s="18" t="s">
        <v>46</v>
      </c>
      <c r="C104" s="18" t="s">
        <v>22</v>
      </c>
      <c r="D104" s="18">
        <v>2030</v>
      </c>
      <c r="E104" s="18">
        <v>34</v>
      </c>
      <c r="F104" s="18" t="s">
        <v>48</v>
      </c>
    </row>
    <row r="105" spans="1:6" x14ac:dyDescent="0.25">
      <c r="A105" s="18" t="s">
        <v>10</v>
      </c>
      <c r="B105" s="18" t="s">
        <v>46</v>
      </c>
      <c r="C105" s="18" t="s">
        <v>24</v>
      </c>
      <c r="D105" s="18">
        <v>2026</v>
      </c>
      <c r="E105" s="18">
        <v>24</v>
      </c>
      <c r="F105" s="18" t="s">
        <v>49</v>
      </c>
    </row>
    <row r="106" spans="1:6" x14ac:dyDescent="0.25">
      <c r="A106" s="18" t="s">
        <v>10</v>
      </c>
      <c r="B106" s="18" t="s">
        <v>46</v>
      </c>
      <c r="C106" s="18" t="s">
        <v>24</v>
      </c>
      <c r="D106" s="18">
        <v>2027</v>
      </c>
      <c r="E106" s="18">
        <v>23.5</v>
      </c>
      <c r="F106" s="18" t="s">
        <v>49</v>
      </c>
    </row>
    <row r="107" spans="1:6" x14ac:dyDescent="0.25">
      <c r="A107" s="18" t="s">
        <v>10</v>
      </c>
      <c r="B107" s="18" t="s">
        <v>46</v>
      </c>
      <c r="C107" s="18" t="s">
        <v>24</v>
      </c>
      <c r="D107" s="18">
        <v>2028</v>
      </c>
      <c r="E107" s="18">
        <v>23</v>
      </c>
      <c r="F107" s="18" t="s">
        <v>49</v>
      </c>
    </row>
    <row r="108" spans="1:6" x14ac:dyDescent="0.25">
      <c r="A108" s="18" t="s">
        <v>10</v>
      </c>
      <c r="B108" s="18" t="s">
        <v>46</v>
      </c>
      <c r="C108" s="18" t="s">
        <v>24</v>
      </c>
      <c r="D108" s="18">
        <v>2029</v>
      </c>
      <c r="E108" s="18">
        <v>22.5</v>
      </c>
      <c r="F108" s="18" t="s">
        <v>49</v>
      </c>
    </row>
    <row r="109" spans="1:6" x14ac:dyDescent="0.25">
      <c r="A109" s="18" t="s">
        <v>10</v>
      </c>
      <c r="B109" s="18" t="s">
        <v>46</v>
      </c>
      <c r="C109" s="18" t="s">
        <v>24</v>
      </c>
      <c r="D109" s="18">
        <v>2030</v>
      </c>
      <c r="E109" s="18">
        <v>22</v>
      </c>
      <c r="F109" s="18" t="s">
        <v>49</v>
      </c>
    </row>
    <row r="110" spans="1:6" x14ac:dyDescent="0.25">
      <c r="A110" s="18" t="s">
        <v>11</v>
      </c>
      <c r="B110" s="18" t="s">
        <v>50</v>
      </c>
      <c r="C110" s="18" t="s">
        <v>20</v>
      </c>
      <c r="D110" s="18">
        <v>2026</v>
      </c>
      <c r="E110" s="18">
        <v>0.08</v>
      </c>
      <c r="F110" s="18" t="s">
        <v>51</v>
      </c>
    </row>
    <row r="111" spans="1:6" x14ac:dyDescent="0.25">
      <c r="A111" s="18" t="s">
        <v>11</v>
      </c>
      <c r="B111" s="18" t="s">
        <v>50</v>
      </c>
      <c r="C111" s="18" t="s">
        <v>20</v>
      </c>
      <c r="D111" s="18">
        <v>2027</v>
      </c>
      <c r="E111" s="18">
        <v>0.08</v>
      </c>
      <c r="F111" s="18" t="s">
        <v>51</v>
      </c>
    </row>
    <row r="112" spans="1:6" x14ac:dyDescent="0.25">
      <c r="A112" s="18" t="s">
        <v>11</v>
      </c>
      <c r="B112" s="18" t="s">
        <v>50</v>
      </c>
      <c r="C112" s="18" t="s">
        <v>20</v>
      </c>
      <c r="D112" s="18">
        <v>2028</v>
      </c>
      <c r="E112" s="18">
        <v>0.08</v>
      </c>
      <c r="F112" s="18" t="s">
        <v>51</v>
      </c>
    </row>
    <row r="113" spans="1:6" x14ac:dyDescent="0.25">
      <c r="A113" s="18" t="s">
        <v>11</v>
      </c>
      <c r="B113" s="18" t="s">
        <v>50</v>
      </c>
      <c r="C113" s="18" t="s">
        <v>20</v>
      </c>
      <c r="D113" s="18">
        <v>2029</v>
      </c>
      <c r="E113" s="18">
        <v>0.08</v>
      </c>
      <c r="F113" s="18" t="s">
        <v>51</v>
      </c>
    </row>
    <row r="114" spans="1:6" x14ac:dyDescent="0.25">
      <c r="A114" s="18" t="s">
        <v>11</v>
      </c>
      <c r="B114" s="18" t="s">
        <v>50</v>
      </c>
      <c r="C114" s="18" t="s">
        <v>20</v>
      </c>
      <c r="D114" s="18">
        <v>2030</v>
      </c>
      <c r="E114" s="18">
        <v>0.08</v>
      </c>
      <c r="F114" s="18" t="s">
        <v>51</v>
      </c>
    </row>
    <row r="115" spans="1:6" x14ac:dyDescent="0.25">
      <c r="A115" s="18" t="s">
        <v>11</v>
      </c>
      <c r="B115" s="18" t="s">
        <v>50</v>
      </c>
      <c r="C115" s="18" t="s">
        <v>22</v>
      </c>
      <c r="D115" s="18">
        <v>2026</v>
      </c>
      <c r="E115" s="18">
        <v>7.4999999999999997E-2</v>
      </c>
      <c r="F115" s="18" t="s">
        <v>52</v>
      </c>
    </row>
    <row r="116" spans="1:6" x14ac:dyDescent="0.25">
      <c r="A116" s="18" t="s">
        <v>11</v>
      </c>
      <c r="B116" s="18" t="s">
        <v>50</v>
      </c>
      <c r="C116" s="18" t="s">
        <v>22</v>
      </c>
      <c r="D116" s="18">
        <v>2027</v>
      </c>
      <c r="E116" s="18">
        <v>7.3749999999999996E-2</v>
      </c>
      <c r="F116" s="18" t="s">
        <v>52</v>
      </c>
    </row>
    <row r="117" spans="1:6" x14ac:dyDescent="0.25">
      <c r="A117" s="18" t="s">
        <v>11</v>
      </c>
      <c r="B117" s="18" t="s">
        <v>50</v>
      </c>
      <c r="C117" s="18" t="s">
        <v>22</v>
      </c>
      <c r="D117" s="18">
        <v>2028</v>
      </c>
      <c r="E117" s="18">
        <v>7.2499999999999995E-2</v>
      </c>
      <c r="F117" s="18" t="s">
        <v>52</v>
      </c>
    </row>
    <row r="118" spans="1:6" x14ac:dyDescent="0.25">
      <c r="A118" s="18" t="s">
        <v>11</v>
      </c>
      <c r="B118" s="18" t="s">
        <v>50</v>
      </c>
      <c r="C118" s="18" t="s">
        <v>22</v>
      </c>
      <c r="D118" s="18">
        <v>2029</v>
      </c>
      <c r="E118" s="18">
        <v>7.1249999999999994E-2</v>
      </c>
      <c r="F118" s="18" t="s">
        <v>52</v>
      </c>
    </row>
    <row r="119" spans="1:6" x14ac:dyDescent="0.25">
      <c r="A119" s="18" t="s">
        <v>11</v>
      </c>
      <c r="B119" s="18" t="s">
        <v>50</v>
      </c>
      <c r="C119" s="18" t="s">
        <v>22</v>
      </c>
      <c r="D119" s="18">
        <v>2030</v>
      </c>
      <c r="E119" s="18">
        <v>7.0000000000000007E-2</v>
      </c>
      <c r="F119" s="18" t="s">
        <v>52</v>
      </c>
    </row>
    <row r="120" spans="1:6" x14ac:dyDescent="0.25">
      <c r="A120" s="18" t="s">
        <v>11</v>
      </c>
      <c r="B120" s="18" t="s">
        <v>50</v>
      </c>
      <c r="C120" s="18" t="s">
        <v>24</v>
      </c>
      <c r="D120" s="18">
        <v>2026</v>
      </c>
      <c r="E120" s="18">
        <v>8.5000000000000006E-2</v>
      </c>
      <c r="F120" s="18" t="s">
        <v>53</v>
      </c>
    </row>
    <row r="121" spans="1:6" x14ac:dyDescent="0.25">
      <c r="A121" s="18" t="s">
        <v>11</v>
      </c>
      <c r="B121" s="18" t="s">
        <v>50</v>
      </c>
      <c r="C121" s="18" t="s">
        <v>24</v>
      </c>
      <c r="D121" s="18">
        <v>2027</v>
      </c>
      <c r="E121" s="18">
        <v>8.8749999999999996E-2</v>
      </c>
      <c r="F121" s="18" t="s">
        <v>53</v>
      </c>
    </row>
    <row r="122" spans="1:6" x14ac:dyDescent="0.25">
      <c r="A122" s="18" t="s">
        <v>11</v>
      </c>
      <c r="B122" s="18" t="s">
        <v>50</v>
      </c>
      <c r="C122" s="18" t="s">
        <v>24</v>
      </c>
      <c r="D122" s="18">
        <v>2028</v>
      </c>
      <c r="E122" s="18">
        <v>9.2499999999999999E-2</v>
      </c>
      <c r="F122" s="18" t="s">
        <v>53</v>
      </c>
    </row>
    <row r="123" spans="1:6" x14ac:dyDescent="0.25">
      <c r="A123" s="18" t="s">
        <v>11</v>
      </c>
      <c r="B123" s="18" t="s">
        <v>50</v>
      </c>
      <c r="C123" s="18" t="s">
        <v>24</v>
      </c>
      <c r="D123" s="18">
        <v>2029</v>
      </c>
      <c r="E123" s="18">
        <v>9.6250000000000002E-2</v>
      </c>
      <c r="F123" s="18" t="s">
        <v>53</v>
      </c>
    </row>
    <row r="124" spans="1:6" x14ac:dyDescent="0.25">
      <c r="A124" s="18" t="s">
        <v>11</v>
      </c>
      <c r="B124" s="18" t="s">
        <v>50</v>
      </c>
      <c r="C124" s="18" t="s">
        <v>24</v>
      </c>
      <c r="D124" s="18">
        <v>2030</v>
      </c>
      <c r="E124" s="18">
        <v>0.1</v>
      </c>
      <c r="F124" s="18" t="s">
        <v>53</v>
      </c>
    </row>
    <row r="125" spans="1:6" x14ac:dyDescent="0.25">
      <c r="A125" s="18" t="s">
        <v>12</v>
      </c>
      <c r="B125" s="18" t="s">
        <v>54</v>
      </c>
      <c r="C125" s="18" t="s">
        <v>20</v>
      </c>
      <c r="D125" s="18">
        <v>2026</v>
      </c>
      <c r="E125" s="18">
        <v>5.8000000000000003E-2</v>
      </c>
      <c r="F125" s="18" t="s">
        <v>55</v>
      </c>
    </row>
    <row r="126" spans="1:6" x14ac:dyDescent="0.25">
      <c r="A126" s="18" t="s">
        <v>12</v>
      </c>
      <c r="B126" s="18" t="s">
        <v>54</v>
      </c>
      <c r="C126" s="18" t="s">
        <v>20</v>
      </c>
      <c r="D126" s="18">
        <v>2027</v>
      </c>
      <c r="E126" s="18">
        <v>5.8000000000000003E-2</v>
      </c>
      <c r="F126" s="18" t="s">
        <v>55</v>
      </c>
    </row>
    <row r="127" spans="1:6" x14ac:dyDescent="0.25">
      <c r="A127" s="18" t="s">
        <v>12</v>
      </c>
      <c r="B127" s="18" t="s">
        <v>54</v>
      </c>
      <c r="C127" s="18" t="s">
        <v>20</v>
      </c>
      <c r="D127" s="18">
        <v>2028</v>
      </c>
      <c r="E127" s="18">
        <v>5.8000000000000003E-2</v>
      </c>
      <c r="F127" s="18" t="s">
        <v>55</v>
      </c>
    </row>
    <row r="128" spans="1:6" x14ac:dyDescent="0.25">
      <c r="A128" s="18" t="s">
        <v>12</v>
      </c>
      <c r="B128" s="18" t="s">
        <v>54</v>
      </c>
      <c r="C128" s="18" t="s">
        <v>20</v>
      </c>
      <c r="D128" s="18">
        <v>2029</v>
      </c>
      <c r="E128" s="18">
        <v>5.8000000000000003E-2</v>
      </c>
      <c r="F128" s="18" t="s">
        <v>55</v>
      </c>
    </row>
    <row r="129" spans="1:6" x14ac:dyDescent="0.25">
      <c r="A129" s="18" t="s">
        <v>12</v>
      </c>
      <c r="B129" s="18" t="s">
        <v>54</v>
      </c>
      <c r="C129" s="18" t="s">
        <v>20</v>
      </c>
      <c r="D129" s="18">
        <v>2030</v>
      </c>
      <c r="E129" s="18">
        <v>5.8000000000000003E-2</v>
      </c>
      <c r="F129" s="18" t="s">
        <v>55</v>
      </c>
    </row>
    <row r="130" spans="1:6" x14ac:dyDescent="0.25">
      <c r="A130" s="18" t="s">
        <v>12</v>
      </c>
      <c r="B130" s="18" t="s">
        <v>54</v>
      </c>
      <c r="C130" s="18" t="s">
        <v>22</v>
      </c>
      <c r="D130" s="18">
        <v>2026</v>
      </c>
      <c r="E130" s="18">
        <v>5.6000000000000001E-2</v>
      </c>
      <c r="F130" s="18" t="s">
        <v>56</v>
      </c>
    </row>
    <row r="131" spans="1:6" x14ac:dyDescent="0.25">
      <c r="A131" s="18" t="s">
        <v>12</v>
      </c>
      <c r="B131" s="18" t="s">
        <v>54</v>
      </c>
      <c r="C131" s="18" t="s">
        <v>22</v>
      </c>
      <c r="D131" s="18">
        <v>2027</v>
      </c>
      <c r="E131" s="18">
        <v>5.5500000000000001E-2</v>
      </c>
      <c r="F131" s="18" t="s">
        <v>56</v>
      </c>
    </row>
    <row r="132" spans="1:6" x14ac:dyDescent="0.25">
      <c r="A132" s="18" t="s">
        <v>12</v>
      </c>
      <c r="B132" s="18" t="s">
        <v>54</v>
      </c>
      <c r="C132" s="18" t="s">
        <v>22</v>
      </c>
      <c r="D132" s="18">
        <v>2028</v>
      </c>
      <c r="E132" s="18">
        <v>5.5E-2</v>
      </c>
      <c r="F132" s="18" t="s">
        <v>56</v>
      </c>
    </row>
    <row r="133" spans="1:6" x14ac:dyDescent="0.25">
      <c r="A133" s="18" t="s">
        <v>12</v>
      </c>
      <c r="B133" s="18" t="s">
        <v>54</v>
      </c>
      <c r="C133" s="18" t="s">
        <v>22</v>
      </c>
      <c r="D133" s="18">
        <v>2029</v>
      </c>
      <c r="E133" s="18">
        <v>5.45E-2</v>
      </c>
      <c r="F133" s="18" t="s">
        <v>56</v>
      </c>
    </row>
    <row r="134" spans="1:6" x14ac:dyDescent="0.25">
      <c r="A134" s="18" t="s">
        <v>12</v>
      </c>
      <c r="B134" s="18" t="s">
        <v>54</v>
      </c>
      <c r="C134" s="18" t="s">
        <v>22</v>
      </c>
      <c r="D134" s="18">
        <v>2030</v>
      </c>
      <c r="E134" s="18">
        <v>5.3999999999999999E-2</v>
      </c>
      <c r="F134" s="18" t="s">
        <v>56</v>
      </c>
    </row>
    <row r="135" spans="1:6" x14ac:dyDescent="0.25">
      <c r="A135" s="18" t="s">
        <v>12</v>
      </c>
      <c r="B135" s="18" t="s">
        <v>54</v>
      </c>
      <c r="C135" s="18" t="s">
        <v>24</v>
      </c>
      <c r="D135" s="18">
        <v>2026</v>
      </c>
      <c r="E135" s="18">
        <v>0.06</v>
      </c>
      <c r="F135" s="18" t="s">
        <v>57</v>
      </c>
    </row>
    <row r="136" spans="1:6" x14ac:dyDescent="0.25">
      <c r="A136" s="18" t="s">
        <v>12</v>
      </c>
      <c r="B136" s="18" t="s">
        <v>54</v>
      </c>
      <c r="C136" s="18" t="s">
        <v>24</v>
      </c>
      <c r="D136" s="18">
        <v>2027</v>
      </c>
      <c r="E136" s="18">
        <v>6.1249999999999999E-2</v>
      </c>
      <c r="F136" s="18" t="s">
        <v>57</v>
      </c>
    </row>
    <row r="137" spans="1:6" x14ac:dyDescent="0.25">
      <c r="A137" s="18" t="s">
        <v>12</v>
      </c>
      <c r="B137" s="18" t="s">
        <v>54</v>
      </c>
      <c r="C137" s="18" t="s">
        <v>24</v>
      </c>
      <c r="D137" s="18">
        <v>2028</v>
      </c>
      <c r="E137" s="18">
        <v>6.25E-2</v>
      </c>
      <c r="F137" s="18" t="s">
        <v>57</v>
      </c>
    </row>
    <row r="138" spans="1:6" x14ac:dyDescent="0.25">
      <c r="A138" s="18" t="s">
        <v>12</v>
      </c>
      <c r="B138" s="18" t="s">
        <v>54</v>
      </c>
      <c r="C138" s="18" t="s">
        <v>24</v>
      </c>
      <c r="D138" s="18">
        <v>2029</v>
      </c>
      <c r="E138" s="18">
        <v>6.3750000000000001E-2</v>
      </c>
      <c r="F138" s="18" t="s">
        <v>57</v>
      </c>
    </row>
    <row r="139" spans="1:6" x14ac:dyDescent="0.25">
      <c r="A139" s="18" t="s">
        <v>12</v>
      </c>
      <c r="B139" s="18" t="s">
        <v>54</v>
      </c>
      <c r="C139" s="18" t="s">
        <v>24</v>
      </c>
      <c r="D139" s="18">
        <v>2030</v>
      </c>
      <c r="E139" s="18">
        <v>6.5000000000000002E-2</v>
      </c>
      <c r="F139" s="18" t="s">
        <v>57</v>
      </c>
    </row>
    <row r="140" spans="1:6" x14ac:dyDescent="0.25">
      <c r="A140" s="18" t="s">
        <v>13</v>
      </c>
      <c r="B140" s="18" t="s">
        <v>58</v>
      </c>
      <c r="C140" s="18" t="s">
        <v>20</v>
      </c>
      <c r="D140" s="18">
        <v>2026</v>
      </c>
      <c r="E140" s="18">
        <v>3.5000000000000003E-2</v>
      </c>
      <c r="F140" s="18" t="s">
        <v>59</v>
      </c>
    </row>
    <row r="141" spans="1:6" x14ac:dyDescent="0.25">
      <c r="A141" s="18" t="s">
        <v>13</v>
      </c>
      <c r="B141" s="18" t="s">
        <v>58</v>
      </c>
      <c r="C141" s="18" t="s">
        <v>20</v>
      </c>
      <c r="D141" s="18">
        <v>2027</v>
      </c>
      <c r="E141" s="18">
        <v>3.3250000000000002E-2</v>
      </c>
      <c r="F141" s="18" t="s">
        <v>59</v>
      </c>
    </row>
    <row r="142" spans="1:6" x14ac:dyDescent="0.25">
      <c r="A142" s="18" t="s">
        <v>13</v>
      </c>
      <c r="B142" s="18" t="s">
        <v>58</v>
      </c>
      <c r="C142" s="18" t="s">
        <v>20</v>
      </c>
      <c r="D142" s="18">
        <v>2028</v>
      </c>
      <c r="E142" s="18">
        <v>3.15E-2</v>
      </c>
      <c r="F142" s="18" t="s">
        <v>59</v>
      </c>
    </row>
    <row r="143" spans="1:6" x14ac:dyDescent="0.25">
      <c r="A143" s="18" t="s">
        <v>13</v>
      </c>
      <c r="B143" s="18" t="s">
        <v>58</v>
      </c>
      <c r="C143" s="18" t="s">
        <v>20</v>
      </c>
      <c r="D143" s="18">
        <v>2029</v>
      </c>
      <c r="E143" s="18">
        <v>2.9749999999999999E-2</v>
      </c>
      <c r="F143" s="18" t="s">
        <v>59</v>
      </c>
    </row>
    <row r="144" spans="1:6" x14ac:dyDescent="0.25">
      <c r="A144" s="18" t="s">
        <v>13</v>
      </c>
      <c r="B144" s="18" t="s">
        <v>58</v>
      </c>
      <c r="C144" s="18" t="s">
        <v>20</v>
      </c>
      <c r="D144" s="18">
        <v>2030</v>
      </c>
      <c r="E144" s="18">
        <v>2.8000000000000001E-2</v>
      </c>
      <c r="F144" s="18" t="s">
        <v>59</v>
      </c>
    </row>
    <row r="145" spans="1:6" x14ac:dyDescent="0.25">
      <c r="A145" s="18" t="s">
        <v>13</v>
      </c>
      <c r="B145" s="18" t="s">
        <v>58</v>
      </c>
      <c r="C145" s="18" t="s">
        <v>22</v>
      </c>
      <c r="D145" s="18">
        <v>2026</v>
      </c>
      <c r="E145" s="18">
        <v>3.2000000000000001E-2</v>
      </c>
      <c r="F145" s="18" t="s">
        <v>60</v>
      </c>
    </row>
    <row r="146" spans="1:6" x14ac:dyDescent="0.25">
      <c r="A146" s="18" t="s">
        <v>13</v>
      </c>
      <c r="B146" s="18" t="s">
        <v>58</v>
      </c>
      <c r="C146" s="18" t="s">
        <v>22</v>
      </c>
      <c r="D146" s="18">
        <v>2027</v>
      </c>
      <c r="E146" s="18">
        <v>2.9499999999999998E-2</v>
      </c>
      <c r="F146" s="18" t="s">
        <v>60</v>
      </c>
    </row>
    <row r="147" spans="1:6" x14ac:dyDescent="0.25">
      <c r="A147" s="18" t="s">
        <v>13</v>
      </c>
      <c r="B147" s="18" t="s">
        <v>58</v>
      </c>
      <c r="C147" s="18" t="s">
        <v>22</v>
      </c>
      <c r="D147" s="18">
        <v>2028</v>
      </c>
      <c r="E147" s="18">
        <v>2.7E-2</v>
      </c>
      <c r="F147" s="18" t="s">
        <v>60</v>
      </c>
    </row>
    <row r="148" spans="1:6" x14ac:dyDescent="0.25">
      <c r="A148" s="18" t="s">
        <v>13</v>
      </c>
      <c r="B148" s="18" t="s">
        <v>58</v>
      </c>
      <c r="C148" s="18" t="s">
        <v>22</v>
      </c>
      <c r="D148" s="18">
        <v>2029</v>
      </c>
      <c r="E148" s="18">
        <v>2.4500000000000001E-2</v>
      </c>
      <c r="F148" s="18" t="s">
        <v>60</v>
      </c>
    </row>
    <row r="149" spans="1:6" x14ac:dyDescent="0.25">
      <c r="A149" s="18" t="s">
        <v>13</v>
      </c>
      <c r="B149" s="18" t="s">
        <v>58</v>
      </c>
      <c r="C149" s="18" t="s">
        <v>22</v>
      </c>
      <c r="D149" s="18">
        <v>2030</v>
      </c>
      <c r="E149" s="18">
        <v>2.1999999999999999E-2</v>
      </c>
      <c r="F149" s="18" t="s">
        <v>60</v>
      </c>
    </row>
    <row r="150" spans="1:6" x14ac:dyDescent="0.25">
      <c r="A150" s="18" t="s">
        <v>13</v>
      </c>
      <c r="B150" s="18" t="s">
        <v>58</v>
      </c>
      <c r="C150" s="18" t="s">
        <v>24</v>
      </c>
      <c r="D150" s="18">
        <v>2026</v>
      </c>
      <c r="E150" s="18">
        <v>3.7999999999999999E-2</v>
      </c>
      <c r="F150" s="18" t="s">
        <v>61</v>
      </c>
    </row>
    <row r="151" spans="1:6" x14ac:dyDescent="0.25">
      <c r="A151" s="18" t="s">
        <v>13</v>
      </c>
      <c r="B151" s="18" t="s">
        <v>58</v>
      </c>
      <c r="C151" s="18" t="s">
        <v>24</v>
      </c>
      <c r="D151" s="18">
        <v>2027</v>
      </c>
      <c r="E151" s="18">
        <v>3.9750000000000001E-2</v>
      </c>
      <c r="F151" s="18" t="s">
        <v>61</v>
      </c>
    </row>
    <row r="152" spans="1:6" x14ac:dyDescent="0.25">
      <c r="A152" s="18" t="s">
        <v>13</v>
      </c>
      <c r="B152" s="18" t="s">
        <v>58</v>
      </c>
      <c r="C152" s="18" t="s">
        <v>24</v>
      </c>
      <c r="D152" s="18">
        <v>2028</v>
      </c>
      <c r="E152" s="18">
        <v>4.1500000000000002E-2</v>
      </c>
      <c r="F152" s="18" t="s">
        <v>61</v>
      </c>
    </row>
    <row r="153" spans="1:6" x14ac:dyDescent="0.25">
      <c r="A153" s="18" t="s">
        <v>13</v>
      </c>
      <c r="B153" s="18" t="s">
        <v>58</v>
      </c>
      <c r="C153" s="18" t="s">
        <v>24</v>
      </c>
      <c r="D153" s="18">
        <v>2029</v>
      </c>
      <c r="E153" s="18">
        <v>4.3249999999999997E-2</v>
      </c>
      <c r="F153" s="18" t="s">
        <v>61</v>
      </c>
    </row>
    <row r="154" spans="1:6" x14ac:dyDescent="0.25">
      <c r="A154" s="18" t="s">
        <v>13</v>
      </c>
      <c r="B154" s="18" t="s">
        <v>58</v>
      </c>
      <c r="C154" s="18" t="s">
        <v>24</v>
      </c>
      <c r="D154" s="18">
        <v>2030</v>
      </c>
      <c r="E154" s="18">
        <v>4.4999999999999998E-2</v>
      </c>
      <c r="F154" s="18" t="s">
        <v>61</v>
      </c>
    </row>
    <row r="157" spans="1:6" ht="15.75" x14ac:dyDescent="0.25">
      <c r="A157" s="19" t="s">
        <v>64</v>
      </c>
    </row>
    <row r="158" spans="1:6" x14ac:dyDescent="0.25">
      <c r="A158" s="17" t="s">
        <v>0</v>
      </c>
      <c r="B158" s="17">
        <v>2021</v>
      </c>
      <c r="C158" s="17">
        <v>2022</v>
      </c>
      <c r="D158" s="17">
        <v>2023</v>
      </c>
      <c r="E158" s="17">
        <v>2024</v>
      </c>
      <c r="F158" s="17">
        <v>2025</v>
      </c>
    </row>
    <row r="159" spans="1:6" x14ac:dyDescent="0.25">
      <c r="A159" s="18" t="s">
        <v>1</v>
      </c>
      <c r="B159" s="20"/>
      <c r="C159" s="20">
        <v>0.10598042152522753</v>
      </c>
      <c r="D159" s="20">
        <v>0.11979863303194051</v>
      </c>
      <c r="E159" s="20">
        <v>0.15162034444917247</v>
      </c>
      <c r="F159" s="20">
        <v>0.130413644230956</v>
      </c>
    </row>
    <row r="160" spans="1:6" x14ac:dyDescent="0.25">
      <c r="A160" s="18" t="s">
        <v>2</v>
      </c>
      <c r="B160" s="20">
        <v>0.58755579717380613</v>
      </c>
      <c r="C160" s="20">
        <v>0.57023099352629603</v>
      </c>
      <c r="D160" s="20">
        <v>0.54530171030137431</v>
      </c>
      <c r="E160" s="20">
        <v>0.55338480387390365</v>
      </c>
      <c r="F160" s="20">
        <v>0.539713615588854</v>
      </c>
    </row>
    <row r="161" spans="1:6" x14ac:dyDescent="0.25">
      <c r="A161" s="18" t="s">
        <v>3</v>
      </c>
      <c r="B161" s="20">
        <v>0.41244420282619387</v>
      </c>
      <c r="C161" s="20">
        <v>0.42976900647370392</v>
      </c>
      <c r="D161" s="20">
        <v>0.45469828969862564</v>
      </c>
      <c r="E161" s="20">
        <v>0.44661519612609635</v>
      </c>
      <c r="F161" s="20">
        <v>0.460286384411145</v>
      </c>
    </row>
    <row r="162" spans="1:6" x14ac:dyDescent="0.25">
      <c r="A162" s="18" t="s">
        <v>4</v>
      </c>
      <c r="B162" s="20">
        <v>0.85320211983032479</v>
      </c>
      <c r="C162" s="20">
        <v>0.75615436573752071</v>
      </c>
      <c r="D162" s="20">
        <v>0.65279612998589054</v>
      </c>
      <c r="E162" s="20">
        <v>0.59242462547726937</v>
      </c>
      <c r="F162" s="20">
        <v>0.545833548379697</v>
      </c>
    </row>
    <row r="163" spans="1:6" x14ac:dyDescent="0.25">
      <c r="A163" s="18" t="s">
        <v>5</v>
      </c>
      <c r="B163" s="20">
        <v>-0.26564632265651872</v>
      </c>
      <c r="C163" s="20">
        <v>-0.18592337221122465</v>
      </c>
      <c r="D163" s="20">
        <v>-0.10749441968451622</v>
      </c>
      <c r="E163" s="20">
        <v>-3.9039821603365679E-2</v>
      </c>
      <c r="F163" s="20">
        <v>-6.1199327908430298E-3</v>
      </c>
    </row>
    <row r="164" spans="1:6" x14ac:dyDescent="0.25">
      <c r="A164" s="18" t="s">
        <v>6</v>
      </c>
      <c r="B164" s="20">
        <v>-0.26677428540786025</v>
      </c>
      <c r="C164" s="20">
        <v>-0.18456911080199026</v>
      </c>
      <c r="D164" s="20">
        <v>-9.4356975954252617E-2</v>
      </c>
      <c r="E164" s="20">
        <v>-2.643537335589221E-2</v>
      </c>
      <c r="F164" s="20">
        <v>1.88208577769367E-3</v>
      </c>
    </row>
    <row r="165" spans="1:6" x14ac:dyDescent="0.25">
      <c r="A165" s="18" t="s">
        <v>7</v>
      </c>
      <c r="B165" s="20"/>
      <c r="C165" s="20"/>
      <c r="D165" s="20"/>
      <c r="E165" s="20"/>
      <c r="F165" s="20">
        <v>0.460729543213933</v>
      </c>
    </row>
    <row r="166" spans="1:6" x14ac:dyDescent="0.25">
      <c r="A166" s="18" t="s">
        <v>8</v>
      </c>
      <c r="B166" s="21">
        <v>0.66952910328810389</v>
      </c>
      <c r="C166" s="21">
        <v>0.87571391311326297</v>
      </c>
      <c r="D166" s="21">
        <v>0.9694967637902846</v>
      </c>
      <c r="E166" s="21">
        <v>0.92182830620433931</v>
      </c>
      <c r="F166" s="21">
        <v>1.3751784884821101</v>
      </c>
    </row>
    <row r="167" spans="1:6" x14ac:dyDescent="0.25">
      <c r="A167" s="18" t="s">
        <v>9</v>
      </c>
      <c r="B167" s="21">
        <v>93.430927733367994</v>
      </c>
      <c r="C167" s="21">
        <v>97.76121377163976</v>
      </c>
      <c r="D167" s="21">
        <v>74.589004436184297</v>
      </c>
      <c r="E167" s="21">
        <v>55.462928289223498</v>
      </c>
      <c r="F167" s="21">
        <v>40.482998858783098</v>
      </c>
    </row>
    <row r="168" spans="1:6" x14ac:dyDescent="0.25">
      <c r="A168" s="18" t="s">
        <v>10</v>
      </c>
      <c r="B168" s="21">
        <v>50.548758344578999</v>
      </c>
      <c r="C168" s="21">
        <v>29.522330285936587</v>
      </c>
      <c r="D168" s="21">
        <v>26.914077250682176</v>
      </c>
      <c r="E168" s="21">
        <v>24.919908500033383</v>
      </c>
      <c r="F168" s="21">
        <v>29.0844226389518</v>
      </c>
    </row>
    <row r="169" spans="1:6" x14ac:dyDescent="0.25">
      <c r="A169" s="18" t="s">
        <v>11</v>
      </c>
      <c r="B169" s="20">
        <v>8.9706322878413014E-2</v>
      </c>
      <c r="C169" s="20">
        <v>0.1006182788507838</v>
      </c>
      <c r="D169" s="20">
        <v>8.0134076877710833E-2</v>
      </c>
      <c r="E169" s="20">
        <v>8.301666634254487E-2</v>
      </c>
      <c r="F169" s="20">
        <v>7.6898285937114702E-2</v>
      </c>
    </row>
    <row r="170" spans="1:6" x14ac:dyDescent="0.25">
      <c r="A170" s="18" t="s">
        <v>12</v>
      </c>
      <c r="B170" s="20">
        <v>4.043654007596182E-2</v>
      </c>
      <c r="C170" s="20">
        <v>5.3274303140548929E-2</v>
      </c>
      <c r="D170" s="20">
        <v>5.7563473755720289E-2</v>
      </c>
      <c r="E170" s="20">
        <v>5.9463383961157246E-2</v>
      </c>
      <c r="F170" s="20">
        <v>5.7666832969188099E-2</v>
      </c>
    </row>
    <row r="171" spans="1:6" x14ac:dyDescent="0.25">
      <c r="A171" s="18" t="s">
        <v>13</v>
      </c>
      <c r="B171" s="20">
        <v>0.19812943095203756</v>
      </c>
      <c r="C171" s="20">
        <v>0.16390241292600716</v>
      </c>
      <c r="D171" s="20">
        <v>0.10527423797899263</v>
      </c>
      <c r="E171" s="20">
        <v>6.1316064124255332E-2</v>
      </c>
      <c r="F171" s="20">
        <v>3.9609819877165497E-2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CAF739-D4CA-43DF-8C15-EB5B75B130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00_Control_Panel</vt:lpstr>
      <vt:lpstr>01_Assumptions</vt:lpstr>
      <vt:lpstr>02_Historical_IS_BS_CF</vt:lpstr>
      <vt:lpstr>03_Forecast_IS</vt:lpstr>
      <vt:lpstr>04_Forecast_BS</vt:lpstr>
      <vt:lpstr>05_Forecast_CF</vt:lpstr>
      <vt:lpstr>06_Supporting_Schedules</vt:lpstr>
      <vt:lpstr>07_Validation</vt:lpstr>
      <vt:lpstr>08_Scenario_Planner</vt:lpstr>
      <vt:lpstr>09_Dashboard</vt:lpstr>
      <vt:lpstr>10_Data_Sources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2026-08-23T05:20:10Z</dcterms:created>
  <dcterms:modified xsi:type="dcterms:W3CDTF">2026-08-28T18:05:30Z</dcterms:modified>
</cp:coreProperties>
</file>